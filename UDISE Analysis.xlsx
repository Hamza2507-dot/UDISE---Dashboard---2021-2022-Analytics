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Lenovo\Documents\MS excel\"/>
    </mc:Choice>
  </mc:AlternateContent>
  <xr:revisionPtr revIDLastSave="0" documentId="8_{38BB14AF-A2B2-42F7-A70A-099BC099FEEC}" xr6:coauthVersionLast="47" xr6:coauthVersionMax="47" xr10:uidLastSave="{00000000-0000-0000-0000-000000000000}"/>
  <bookViews>
    <workbookView xWindow="-108" yWindow="-108" windowWidth="23256" windowHeight="12456" activeTab="2" xr2:uid="{A2661C25-1F82-4249-AE8F-84985AA9E862}"/>
  </bookViews>
  <sheets>
    <sheet name="UDISE_2021_22_Table_5.9_0" sheetId="1" r:id="rId1"/>
    <sheet name="Filtered" sheetId="3" r:id="rId2"/>
    <sheet name="Visualization" sheetId="4" r:id="rId3"/>
  </sheets>
  <definedNames>
    <definedName name="_xlchart.v5.0" hidden="1">Filtered!$A$3</definedName>
    <definedName name="_xlchart.v5.1" hidden="1">Filtered!$A$4:$A$39</definedName>
    <definedName name="_xlchart.v5.2" hidden="1">Filtered!$D$3</definedName>
    <definedName name="_xlchart.v5.3" hidden="1">Filtered!$D$4:$D$39</definedName>
    <definedName name="Slicer_Top_Ten_State_with_Lowest_Gender_Gap">#N/A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I39" i="3"/>
  <c r="H39" i="3"/>
  <c r="G39" i="3"/>
  <c r="F39" i="3"/>
  <c r="E39" i="3"/>
  <c r="I38" i="3"/>
  <c r="H38" i="3"/>
  <c r="G38" i="3"/>
  <c r="F38" i="3"/>
  <c r="E38" i="3"/>
  <c r="I37" i="3"/>
  <c r="H37" i="3"/>
  <c r="G37" i="3"/>
  <c r="F37" i="3"/>
  <c r="E37" i="3"/>
  <c r="I36" i="3"/>
  <c r="H36" i="3"/>
  <c r="G36" i="3"/>
  <c r="F36" i="3"/>
  <c r="E36" i="3"/>
  <c r="I35" i="3"/>
  <c r="H35" i="3"/>
  <c r="G35" i="3"/>
  <c r="F35" i="3"/>
  <c r="E35" i="3"/>
  <c r="I34" i="3"/>
  <c r="H34" i="3"/>
  <c r="G34" i="3"/>
  <c r="F34" i="3"/>
  <c r="E34" i="3"/>
  <c r="I33" i="3"/>
  <c r="H33" i="3"/>
  <c r="G33" i="3"/>
  <c r="F33" i="3"/>
  <c r="E33" i="3"/>
  <c r="I32" i="3"/>
  <c r="H32" i="3"/>
  <c r="G32" i="3"/>
  <c r="F32" i="3"/>
  <c r="E32" i="3"/>
  <c r="I31" i="3"/>
  <c r="H31" i="3"/>
  <c r="G31" i="3"/>
  <c r="F31" i="3"/>
  <c r="E31" i="3"/>
  <c r="I30" i="3"/>
  <c r="H30" i="3"/>
  <c r="G30" i="3"/>
  <c r="F30" i="3"/>
  <c r="E30" i="3"/>
  <c r="I29" i="3"/>
  <c r="H29" i="3"/>
  <c r="G29" i="3"/>
  <c r="F29" i="3"/>
  <c r="E29" i="3"/>
  <c r="I28" i="3"/>
  <c r="H28" i="3"/>
  <c r="G28" i="3"/>
  <c r="F28" i="3"/>
  <c r="E28" i="3"/>
  <c r="I27" i="3"/>
  <c r="H27" i="3"/>
  <c r="G27" i="3"/>
  <c r="F27" i="3"/>
  <c r="E27" i="3"/>
  <c r="I26" i="3"/>
  <c r="H26" i="3"/>
  <c r="G26" i="3"/>
  <c r="F26" i="3"/>
  <c r="E26" i="3"/>
  <c r="I25" i="3"/>
  <c r="H25" i="3"/>
  <c r="G25" i="3"/>
  <c r="F25" i="3"/>
  <c r="E25" i="3"/>
  <c r="I24" i="3"/>
  <c r="H24" i="3"/>
  <c r="G24" i="3"/>
  <c r="F24" i="3"/>
  <c r="E24" i="3"/>
  <c r="I23" i="3"/>
  <c r="H23" i="3"/>
  <c r="G23" i="3"/>
  <c r="F23" i="3"/>
  <c r="E23" i="3"/>
  <c r="H22" i="3"/>
  <c r="G22" i="3"/>
  <c r="F22" i="3"/>
  <c r="E22" i="3"/>
  <c r="I21" i="3"/>
  <c r="H21" i="3"/>
  <c r="G21" i="3"/>
  <c r="F21" i="3"/>
  <c r="E21" i="3"/>
  <c r="I20" i="3"/>
  <c r="H20" i="3"/>
  <c r="G20" i="3"/>
  <c r="F20" i="3"/>
  <c r="E20" i="3"/>
  <c r="I19" i="3"/>
  <c r="H19" i="3"/>
  <c r="G19" i="3"/>
  <c r="F19" i="3"/>
  <c r="E19" i="3"/>
  <c r="I18" i="3"/>
  <c r="H18" i="3"/>
  <c r="G18" i="3"/>
  <c r="F18" i="3"/>
  <c r="E18" i="3"/>
  <c r="I17" i="3"/>
  <c r="H17" i="3"/>
  <c r="G17" i="3"/>
  <c r="F17" i="3"/>
  <c r="E17" i="3"/>
  <c r="I16" i="3"/>
  <c r="H16" i="3"/>
  <c r="G16" i="3"/>
  <c r="F16" i="3"/>
  <c r="E16" i="3"/>
  <c r="I15" i="3"/>
  <c r="H15" i="3"/>
  <c r="G15" i="3"/>
  <c r="F15" i="3"/>
  <c r="E15" i="3"/>
  <c r="I14" i="3"/>
  <c r="H14" i="3"/>
  <c r="G14" i="3"/>
  <c r="F14" i="3"/>
  <c r="E14" i="3"/>
  <c r="I13" i="3"/>
  <c r="H13" i="3"/>
  <c r="G13" i="3"/>
  <c r="F13" i="3"/>
  <c r="E13" i="3"/>
  <c r="I12" i="3"/>
  <c r="H12" i="3"/>
  <c r="G12" i="3"/>
  <c r="F12" i="3"/>
  <c r="E12" i="3"/>
  <c r="I11" i="3"/>
  <c r="H11" i="3"/>
  <c r="G11" i="3"/>
  <c r="F11" i="3"/>
  <c r="E11" i="3"/>
  <c r="I10" i="3"/>
  <c r="H10" i="3"/>
  <c r="G10" i="3"/>
  <c r="F10" i="3"/>
  <c r="E10" i="3"/>
  <c r="I9" i="3"/>
  <c r="H9" i="3"/>
  <c r="G9" i="3"/>
  <c r="F9" i="3"/>
  <c r="E9" i="3"/>
  <c r="I8" i="3"/>
  <c r="H8" i="3"/>
  <c r="G8" i="3"/>
  <c r="F8" i="3"/>
  <c r="E8" i="3"/>
  <c r="I7" i="3"/>
  <c r="H7" i="3"/>
  <c r="G7" i="3"/>
  <c r="F7" i="3"/>
  <c r="E7" i="3"/>
  <c r="I6" i="3"/>
  <c r="H6" i="3"/>
  <c r="G6" i="3"/>
  <c r="F6" i="3"/>
  <c r="E6" i="3"/>
  <c r="I5" i="3"/>
  <c r="H5" i="3"/>
  <c r="G5" i="3"/>
  <c r="F5" i="3"/>
  <c r="E5" i="3"/>
  <c r="I4" i="3"/>
  <c r="H4" i="3"/>
  <c r="G4" i="3"/>
  <c r="F4" i="3"/>
  <c r="E4" i="3"/>
  <c r="I2" i="3"/>
  <c r="H2" i="3"/>
  <c r="F2" i="3"/>
</calcChain>
</file>

<file path=xl/sharedStrings.xml><?xml version="1.0" encoding="utf-8"?>
<sst xmlns="http://schemas.openxmlformats.org/spreadsheetml/2006/main" count="132" uniqueCount="74">
  <si>
    <t>India/State/ UT</t>
  </si>
  <si>
    <t>Enrolment - Private Unaided Recognized - Pre-Primary - Boys</t>
  </si>
  <si>
    <t>Enrolment - Private Unaided Recognized - Pre-Primary - Girls</t>
  </si>
  <si>
    <t>Enrolment - Private Unaided Recognized - Pre-Primary - Total</t>
  </si>
  <si>
    <t>Enrolment - Private Unaided Recognized - Primary (1 to 5) - Boys</t>
  </si>
  <si>
    <t>Enrolment - Private Unaided Recognized - Primary (1 to 5) - Girls</t>
  </si>
  <si>
    <t>Enrolment - Private Unaided Recognized - Primary (1 to 5) - Total</t>
  </si>
  <si>
    <t>Enrolment - Private Unaided Recognized - Upper Primary (6-8) - Boys</t>
  </si>
  <si>
    <t>Enrolment - Private Unaided Recognized - Upper Primary (6-8) - Girls</t>
  </si>
  <si>
    <t>Enrolment - Private Unaided Recognized - Upper Primary (6-8) - Total</t>
  </si>
  <si>
    <t>Enrolment - Private Unaided Recognized - Elementary (1-8) - Boys</t>
  </si>
  <si>
    <t>Enrolment - Private Unaided Recognized - Elementary (1-8) - Girls</t>
  </si>
  <si>
    <t>Enrolment - Private Unaided Recognized - Elementary (1-8) - Total</t>
  </si>
  <si>
    <t>Enrolment - Private Unaided Recognized - Secondary (9-10) - Boys</t>
  </si>
  <si>
    <t>Enrolment - Private Unaided Recognized - Secondary (9-10) - Girls</t>
  </si>
  <si>
    <t>Enrolment - Private Unaided Recognized - Secondary (9-10) - Total</t>
  </si>
  <si>
    <t>Enrolment - Private Unaided Recognized - Higher Secondary (11-12) - Boys</t>
  </si>
  <si>
    <t>Enrolment - Private Unaided Recognized - Higher Secondary (11-12) - Girls</t>
  </si>
  <si>
    <t>Enrolment - Private Unaided Recognized - Higher Secondary (11-12) - Total</t>
  </si>
  <si>
    <t>Enrolment - Private Unaided Recognized - Primary to Higher Secondary (1-12) - Boys</t>
  </si>
  <si>
    <t>Enrolment - Private Unaided Recognized - Primary to Higher Secondary (1-12) - Girls</t>
  </si>
  <si>
    <t>Enrolment - Private Unaided Recognized - Primary to Higher Secondary (1-12) - Total</t>
  </si>
  <si>
    <t>Enrolment - Private Unaided Recognized - Total (Pre-Primary to Higher Secondary) - Boys</t>
  </si>
  <si>
    <t>Enrolment - Private Unaided Recognized - Total (Pre-Primary to Higher Secondary) - Girls</t>
  </si>
  <si>
    <t>Enrolment - Private Unaided Recognized - Total (Pre-Primary to Higher Secondary) - Total</t>
  </si>
  <si>
    <t>India</t>
  </si>
  <si>
    <t>Andaman and Nicobar Islands</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</si>
  <si>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</si>
  <si>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</si>
  <si>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</si>
  <si>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</si>
  <si>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</si>
  <si>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</si>
  <si>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</si>
  <si>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</si>
  <si>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</si>
  <si>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</si>
  <si>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</si>
  <si>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</si>
  <si>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</si>
  <si>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</si>
  <si>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</si>
  <si>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</si>
  <si>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</si>
  <si>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</si>
  <si>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</si>
  <si>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</si>
  <si>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</si>
  <si>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</si>
  <si>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</si>
  <si>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</si>
  <si>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</si>
  <si>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</si>
  <si>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</si>
  <si>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</si>
  <si>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</si>
  <si>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</si>
  <si>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</si>
  <si>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</si>
  <si>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</si>
  <si>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</si>
  <si>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</si>
  <si>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 xml:space="preserve"> Total Enrolment (Pre-Primary to Higher Secondary) - Boys</t>
  </si>
  <si>
    <t>Total Enrolment (Pre-Primary to Higher secondary) - Girls</t>
  </si>
  <si>
    <t>Total Enrolment (Pre-Primary to Higher secondary) - Total</t>
  </si>
  <si>
    <t>Total Boys (in %)</t>
  </si>
  <si>
    <t>Total Girls (in %)</t>
  </si>
  <si>
    <t>Total Enrolment (in %)</t>
  </si>
  <si>
    <t>Gender  Gap</t>
  </si>
  <si>
    <t>Gender Parity Index (GPI)</t>
  </si>
  <si>
    <t>Dadra &amp; Nagar Haveli and Daman &amp; Diu</t>
  </si>
  <si>
    <t>Top Ten State - wise Enrolment</t>
  </si>
  <si>
    <t>Top Ten State with Lowest Gender Gap</t>
  </si>
  <si>
    <t>Gender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</si>
</sst>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b/>
      <sz val="14"/>
      <color theme="1"/>
      <name val="Trebuchet MS"/>
      <family val="2"/>
      <scheme val="minor"/>
    </font>
    <font>
      <sz val="14"/>
      <color theme="1"/>
      <name val="Trebuchet MS"/>
      <family val="2"/>
      <scheme val="minor"/>
    </font>
    <font>
      <b/>
      <sz val="14"/>
      <color theme="0"/>
      <name val="Trebuchet MS"/>
      <family val="2"/>
      <scheme val="minor"/>
    </font>
    <font>
      <b/>
      <sz val="12"/>
      <color theme="1"/>
      <name val="Trebuchet MS"/>
      <family val="2"/>
      <scheme val="minor"/>
    </font>
    <font>
      <b/>
      <sz val="20"/>
      <color theme="1"/>
      <name val="Trebuchet MS"/>
      <family val="2"/>
      <scheme val="minor"/>
    </font>
    <font>
      <b/>
      <sz val="12"/>
      <color theme="0"/>
      <name val="Trebuchet MS"/>
      <family val="2"/>
      <scheme val="minor"/>
    </font>
    <font>
      <b/>
      <sz val="18"/>
      <color theme="1"/>
      <name val="Trebuchet MS"/>
      <family val="2"/>
      <scheme val="minor"/>
    </font>
    <font>
      <sz val="16"/>
      <color theme="1"/>
      <name val="Trebuchet MS"/>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
      <patternFill patternType="solid">
        <fgColor theme="8"/>
        <bgColor indexed="64"/>
      </patternFill>
    </fill>
    <fill>
      <patternFill patternType="solid">
        <fgColor theme="5" tint="0.79998168889431442"/>
        <bgColor theme="5" tint="0.79998168889431442"/>
      </patternFill>
    </fill>
    <fill>
      <patternFill patternType="solid">
        <fgColor theme="8" tint="0.79998168889431442"/>
        <bgColor theme="8"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theme="5" tint="0.39997558519241921"/>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0">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16" fillId="0" borderId="0" xfId="0" applyFont="1" applyAlignment="1">
      <alignment horizontal="center" wrapText="1"/>
    </xf>
    <xf numFmtId="0" fontId="18" fillId="0" borderId="0" xfId="0" applyFont="1" applyAlignment="1">
      <alignment horizontal="center" wrapText="1"/>
    </xf>
    <xf numFmtId="0" fontId="0" fillId="35" borderId="0" xfId="0" applyFill="1"/>
    <xf numFmtId="0" fontId="0" fillId="0" borderId="12" xfId="0" applyBorder="1" applyAlignment="1">
      <alignment horizontal="center"/>
    </xf>
    <xf numFmtId="2" fontId="0" fillId="0" borderId="12" xfId="0" applyNumberFormat="1" applyBorder="1" applyAlignment="1">
      <alignment horizontal="center"/>
    </xf>
    <xf numFmtId="2" fontId="0" fillId="33" borderId="12" xfId="0" applyNumberFormat="1" applyFill="1" applyBorder="1" applyAlignment="1">
      <alignment horizontal="center"/>
    </xf>
    <xf numFmtId="0" fontId="0" fillId="34" borderId="0" xfId="0" applyFill="1" applyAlignment="1">
      <alignment horizontal="center"/>
    </xf>
    <xf numFmtId="9" fontId="18" fillId="0" borderId="11" xfId="42" applyFont="1" applyFill="1" applyBorder="1" applyAlignment="1">
      <alignment horizontal="center" vertical="center"/>
    </xf>
    <xf numFmtId="0" fontId="16" fillId="0" borderId="11" xfId="0" applyFont="1" applyBorder="1" applyAlignment="1">
      <alignment horizontal="center" vertical="center" wrapText="1"/>
    </xf>
    <xf numFmtId="9" fontId="21" fillId="0" borderId="15" xfId="42" applyFont="1" applyFill="1" applyBorder="1" applyAlignment="1">
      <alignment horizontal="center" vertical="center"/>
    </xf>
    <xf numFmtId="9" fontId="21" fillId="0" borderId="11" xfId="42" applyFont="1" applyFill="1" applyBorder="1" applyAlignment="1">
      <alignment horizontal="center" vertical="center"/>
    </xf>
    <xf numFmtId="9" fontId="21" fillId="0" borderId="13" xfId="42" applyFont="1" applyFill="1" applyBorder="1" applyAlignment="1">
      <alignment horizontal="center" vertical="center"/>
    </xf>
    <xf numFmtId="0" fontId="0" fillId="0" borderId="14" xfId="0" applyBorder="1" applyAlignment="1">
      <alignment horizontal="left"/>
    </xf>
    <xf numFmtId="0" fontId="0" fillId="0" borderId="10" xfId="0" applyBorder="1" applyAlignment="1">
      <alignment horizontal="center"/>
    </xf>
    <xf numFmtId="0" fontId="0" fillId="0" borderId="14" xfId="0" applyBorder="1" applyAlignment="1">
      <alignment horizontal="center"/>
    </xf>
    <xf numFmtId="0" fontId="19" fillId="0" borderId="10" xfId="0" applyFont="1" applyBorder="1" applyAlignment="1">
      <alignment horizontal="center"/>
    </xf>
    <xf numFmtId="10" fontId="0" fillId="0" borderId="10" xfId="42" applyNumberFormat="1" applyFont="1" applyFill="1" applyBorder="1" applyAlignment="1">
      <alignment horizontal="center"/>
    </xf>
    <xf numFmtId="10" fontId="0" fillId="0" borderId="14" xfId="42" applyNumberFormat="1" applyFont="1" applyFill="1" applyBorder="1" applyAlignment="1">
      <alignment horizontal="center"/>
    </xf>
    <xf numFmtId="0" fontId="0" fillId="0" borderId="0" xfId="0" applyAlignment="1">
      <alignment vertical="center"/>
    </xf>
    <xf numFmtId="0" fontId="21" fillId="0" borderId="0" xfId="0" applyFont="1" applyAlignment="1">
      <alignment horizontal="center" wrapText="1"/>
    </xf>
    <xf numFmtId="0" fontId="0" fillId="0" borderId="10" xfId="0" applyBorder="1" applyAlignment="1">
      <alignment horizontal="left"/>
    </xf>
    <xf numFmtId="0" fontId="0" fillId="36" borderId="10" xfId="0" applyFill="1" applyBorder="1" applyAlignment="1">
      <alignment horizontal="left"/>
    </xf>
    <xf numFmtId="0" fontId="16" fillId="0" borderId="12" xfId="0" applyFont="1"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21" fillId="0" borderId="20" xfId="0" applyFont="1" applyBorder="1" applyAlignment="1">
      <alignment horizontal="center" vertical="center" wrapText="1"/>
    </xf>
    <xf numFmtId="0" fontId="0" fillId="36" borderId="10" xfId="0" applyFill="1" applyBorder="1" applyAlignment="1">
      <alignment horizontal="center"/>
    </xf>
    <xf numFmtId="9" fontId="20" fillId="0" borderId="10" xfId="42" applyFont="1" applyFill="1" applyBorder="1" applyAlignment="1">
      <alignment horizontal="center" vertical="center"/>
    </xf>
    <xf numFmtId="0" fontId="18" fillId="0" borderId="11" xfId="0" applyFont="1" applyBorder="1" applyAlignment="1">
      <alignment horizontal="center" vertical="center"/>
    </xf>
    <xf numFmtId="9" fontId="18" fillId="0" borderId="15" xfId="42" applyFont="1" applyFill="1" applyBorder="1" applyAlignment="1">
      <alignment horizontal="center" vertical="center"/>
    </xf>
    <xf numFmtId="2" fontId="18" fillId="0" borderId="13" xfId="0" applyNumberFormat="1" applyFont="1" applyBorder="1" applyAlignment="1">
      <alignment horizontal="center" vertical="center"/>
    </xf>
    <xf numFmtId="0" fontId="18" fillId="0" borderId="0" xfId="0" applyFont="1" applyAlignment="1">
      <alignment horizontal="center" vertical="center"/>
    </xf>
    <xf numFmtId="9" fontId="16" fillId="0" borderId="16" xfId="42" applyFont="1" applyFill="1" applyBorder="1" applyAlignment="1">
      <alignment horizontal="center" vertical="center" wrapText="1"/>
    </xf>
    <xf numFmtId="9" fontId="16" fillId="0" borderId="16" xfId="42" applyFont="1" applyFill="1" applyBorder="1" applyAlignment="1">
      <alignment horizontal="center" vertical="center"/>
    </xf>
    <xf numFmtId="0" fontId="0" fillId="37" borderId="10" xfId="0" applyFill="1" applyBorder="1" applyAlignment="1">
      <alignment horizontal="left"/>
    </xf>
    <xf numFmtId="0" fontId="0" fillId="37" borderId="10" xfId="0" applyFill="1" applyBorder="1" applyAlignment="1">
      <alignment horizontal="center"/>
    </xf>
    <xf numFmtId="2" fontId="0" fillId="0" borderId="0" xfId="0" applyNumberFormat="1"/>
    <xf numFmtId="0" fontId="0" fillId="36" borderId="14" xfId="0" applyFill="1" applyBorder="1" applyAlignment="1">
      <alignment horizontal="left"/>
    </xf>
    <xf numFmtId="0" fontId="0" fillId="36" borderId="19" xfId="0" applyFill="1" applyBorder="1" applyAlignment="1">
      <alignment horizontal="left"/>
    </xf>
    <xf numFmtId="0" fontId="23" fillId="0" borderId="0" xfId="0" applyFont="1" applyAlignment="1">
      <alignment horizontal="center" vertical="center" wrapText="1"/>
    </xf>
    <xf numFmtId="0" fontId="18" fillId="0" borderId="13" xfId="0" applyFont="1" applyBorder="1" applyAlignment="1">
      <alignment horizontal="center" vertical="center"/>
    </xf>
    <xf numFmtId="0" fontId="22" fillId="0" borderId="15" xfId="0" applyFont="1" applyBorder="1" applyAlignment="1">
      <alignment horizontal="center" vertical="center"/>
    </xf>
    <xf numFmtId="9" fontId="0" fillId="0" borderId="0" xfId="42" applyFont="1"/>
    <xf numFmtId="9" fontId="24" fillId="0" borderId="16" xfId="42" applyFont="1" applyFill="1" applyBorder="1" applyAlignment="1">
      <alignment horizontal="center" vertical="center" wrapText="1"/>
    </xf>
    <xf numFmtId="0" fontId="0" fillId="0" borderId="0" xfId="0" applyFill="1"/>
    <xf numFmtId="0" fontId="25" fillId="0"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fill>
        <patternFill>
          <bgColor theme="9" tint="0.59996337778862885"/>
        </patternFill>
      </fill>
    </dxf>
    <dxf>
      <fill>
        <patternFill>
          <bgColor theme="9" tint="0.39994506668294322"/>
        </patternFill>
      </fill>
    </dxf>
    <dxf>
      <fill>
        <patternFill>
          <bgColor rgb="FFFF5050"/>
        </patternFill>
      </fill>
    </dxf>
    <dxf>
      <fill>
        <patternFill>
          <bgColor theme="9" tint="0.59996337778862885"/>
        </patternFill>
      </fill>
    </dxf>
    <dxf>
      <fill>
        <patternFill>
          <bgColor theme="9" tint="0.39994506668294322"/>
        </patternFill>
      </fill>
    </dxf>
    <dxf>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bottom style="thin">
          <color auto="1"/>
        </bottom>
      </border>
    </dxf>
    <dxf>
      <border outline="0">
        <bottom style="thin">
          <color auto="1"/>
        </bottom>
      </border>
    </dxf>
    <dxf>
      <font>
        <b/>
      </font>
      <alignment horizontal="center" vertical="center" textRotation="0" indent="0" justifyLastLine="0" shrinkToFit="0" readingOrder="0"/>
    </dxf>
    <dxf>
      <numFmt numFmtId="2" formatCode="0.00"/>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rebuchet MS"/>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rebuchet MS"/>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Trebuchet MS"/>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auto="1"/>
        </right>
        <top style="thin">
          <color auto="1"/>
        </top>
        <bottom style="thin">
          <color auto="1"/>
        </bottom>
      </border>
    </dxf>
    <dxf>
      <border outline="0">
        <left style="thin">
          <color auto="1"/>
        </left>
        <right style="thin">
          <color auto="1"/>
        </right>
        <top style="thin">
          <color auto="1"/>
        </top>
      </border>
    </dxf>
    <dxf>
      <font>
        <b/>
        <i val="0"/>
        <strike val="0"/>
        <condense val="0"/>
        <extend val="0"/>
        <outline val="0"/>
        <shadow val="0"/>
        <u val="none"/>
        <vertAlign val="baseline"/>
        <sz val="11"/>
        <color theme="1"/>
        <name val="Trebuchet MS"/>
        <family val="2"/>
        <scheme val="minor"/>
      </font>
      <fill>
        <patternFill patternType="none">
          <fgColor indexed="64"/>
          <bgColor auto="1"/>
        </patternFill>
      </fill>
      <alignment vertical="center" textRotation="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Slicer Style 1" pivot="0" table="0" count="0" xr9:uid="{DAC3EBD4-E603-4E0D-80ED-2CEB69E26BC7}"/>
  </tableStyles>
  <colors>
    <mruColors>
      <color rgb="FFFF5050"/>
      <color rgb="FFC378FC"/>
      <color rgb="FFD9A9FD"/>
      <color rgb="FFF4CCF4"/>
      <color rgb="FFF2C0F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781869584837247"/>
          <c:y val="0.22081370826828442"/>
          <c:w val="0.21481175415934547"/>
          <c:h val="0.63179892577768793"/>
        </c:manualLayout>
      </c:layout>
      <c:doughnutChart>
        <c:varyColors val="1"/>
        <c:ser>
          <c:idx val="0"/>
          <c:order val="0"/>
          <c:tx>
            <c:strRef>
              <c:f>Filtered!$G$1</c:f>
              <c:strCache>
                <c:ptCount val="1"/>
                <c:pt idx="0">
                  <c:v>Total Enrolment (in %)</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A3C-4B2B-BB50-E2E44A9F6B40}"/>
              </c:ext>
            </c:extLst>
          </c:dPt>
          <c:dPt>
            <c:idx val="1"/>
            <c:bubble3D val="0"/>
            <c:spPr>
              <a:solidFill>
                <a:schemeClr val="accent2"/>
              </a:solidFill>
              <a:ln w="19050">
                <a:noFill/>
              </a:ln>
              <a:effectLst/>
            </c:spPr>
            <c:extLst>
              <c:ext xmlns:c16="http://schemas.microsoft.com/office/drawing/2014/chart" uri="{C3380CC4-5D6E-409C-BE32-E72D297353CC}">
                <c16:uniqueId val="{00000003-EA3C-4B2B-BB50-E2E44A9F6B40}"/>
              </c:ext>
            </c:extLst>
          </c:dPt>
          <c:dPt>
            <c:idx val="2"/>
            <c:bubble3D val="0"/>
            <c:spPr>
              <a:solidFill>
                <a:schemeClr val="accent3"/>
              </a:solidFill>
              <a:ln w="19050">
                <a:noFill/>
              </a:ln>
              <a:effectLst/>
            </c:spPr>
            <c:extLst>
              <c:ext xmlns:c16="http://schemas.microsoft.com/office/drawing/2014/chart" uri="{C3380CC4-5D6E-409C-BE32-E72D297353CC}">
                <c16:uniqueId val="{00000005-EA3C-4B2B-BB50-E2E44A9F6B40}"/>
              </c:ext>
            </c:extLst>
          </c:dPt>
          <c:dPt>
            <c:idx val="3"/>
            <c:bubble3D val="0"/>
            <c:spPr>
              <a:solidFill>
                <a:schemeClr val="accent4"/>
              </a:solidFill>
              <a:ln w="19050">
                <a:noFill/>
              </a:ln>
              <a:effectLst/>
            </c:spPr>
            <c:extLst>
              <c:ext xmlns:c16="http://schemas.microsoft.com/office/drawing/2014/chart" uri="{C3380CC4-5D6E-409C-BE32-E72D297353CC}">
                <c16:uniqueId val="{00000007-EA3C-4B2B-BB50-E2E44A9F6B40}"/>
              </c:ext>
            </c:extLst>
          </c:dPt>
          <c:dPt>
            <c:idx val="4"/>
            <c:bubble3D val="0"/>
            <c:spPr>
              <a:solidFill>
                <a:schemeClr val="accent5"/>
              </a:solidFill>
              <a:ln w="19050">
                <a:noFill/>
              </a:ln>
              <a:effectLst/>
            </c:spPr>
            <c:extLst>
              <c:ext xmlns:c16="http://schemas.microsoft.com/office/drawing/2014/chart" uri="{C3380CC4-5D6E-409C-BE32-E72D297353CC}">
                <c16:uniqueId val="{00000009-EA3C-4B2B-BB50-E2E44A9F6B40}"/>
              </c:ext>
            </c:extLst>
          </c:dPt>
          <c:dPt>
            <c:idx val="5"/>
            <c:bubble3D val="0"/>
            <c:spPr>
              <a:solidFill>
                <a:schemeClr val="accent6"/>
              </a:solidFill>
              <a:ln w="19050">
                <a:noFill/>
              </a:ln>
              <a:effectLst/>
            </c:spPr>
            <c:extLst>
              <c:ext xmlns:c16="http://schemas.microsoft.com/office/drawing/2014/chart" uri="{C3380CC4-5D6E-409C-BE32-E72D297353CC}">
                <c16:uniqueId val="{0000000B-EA3C-4B2B-BB50-E2E44A9F6B4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EA3C-4B2B-BB50-E2E44A9F6B4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EA3C-4B2B-BB50-E2E44A9F6B4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EA3C-4B2B-BB50-E2E44A9F6B40}"/>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EA3C-4B2B-BB50-E2E44A9F6B40}"/>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EA3C-4B2B-BB50-E2E44A9F6B40}"/>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EA3C-4B2B-BB50-E2E44A9F6B40}"/>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EA3C-4B2B-BB50-E2E44A9F6B40}"/>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EA3C-4B2B-BB50-E2E44A9F6B40}"/>
              </c:ext>
            </c:extLst>
          </c:dPt>
          <c:dPt>
            <c:idx val="14"/>
            <c:bubble3D val="0"/>
            <c:spPr>
              <a:solidFill>
                <a:schemeClr val="accent3">
                  <a:lumMod val="80000"/>
                  <a:lumOff val="20000"/>
                </a:schemeClr>
              </a:solidFill>
              <a:ln w="19050">
                <a:noFill/>
              </a:ln>
              <a:effectLst/>
            </c:spPr>
            <c:extLst>
              <c:ext xmlns:c16="http://schemas.microsoft.com/office/drawing/2014/chart" uri="{C3380CC4-5D6E-409C-BE32-E72D297353CC}">
                <c16:uniqueId val="{0000001D-EA3C-4B2B-BB50-E2E44A9F6B40}"/>
              </c:ext>
            </c:extLst>
          </c:dPt>
          <c:dPt>
            <c:idx val="15"/>
            <c:bubble3D val="0"/>
            <c:spPr>
              <a:solidFill>
                <a:schemeClr val="accent4">
                  <a:lumMod val="80000"/>
                  <a:lumOff val="20000"/>
                </a:schemeClr>
              </a:solidFill>
              <a:ln w="19050">
                <a:noFill/>
              </a:ln>
              <a:effectLst/>
            </c:spPr>
            <c:extLst>
              <c:ext xmlns:c16="http://schemas.microsoft.com/office/drawing/2014/chart" uri="{C3380CC4-5D6E-409C-BE32-E72D297353CC}">
                <c16:uniqueId val="{0000001F-EA3C-4B2B-BB50-E2E44A9F6B40}"/>
              </c:ext>
            </c:extLst>
          </c:dPt>
          <c:dPt>
            <c:idx val="16"/>
            <c:bubble3D val="0"/>
            <c:spPr>
              <a:solidFill>
                <a:schemeClr val="accent5">
                  <a:lumMod val="80000"/>
                  <a:lumOff val="20000"/>
                </a:schemeClr>
              </a:solidFill>
              <a:ln w="19050">
                <a:noFill/>
              </a:ln>
              <a:effectLst/>
            </c:spPr>
            <c:extLst>
              <c:ext xmlns:c16="http://schemas.microsoft.com/office/drawing/2014/chart" uri="{C3380CC4-5D6E-409C-BE32-E72D297353CC}">
                <c16:uniqueId val="{00000021-EA3C-4B2B-BB50-E2E44A9F6B40}"/>
              </c:ext>
            </c:extLst>
          </c:dPt>
          <c:dPt>
            <c:idx val="17"/>
            <c:bubble3D val="0"/>
            <c:spPr>
              <a:solidFill>
                <a:schemeClr val="accent6">
                  <a:lumMod val="80000"/>
                  <a:lumOff val="20000"/>
                </a:schemeClr>
              </a:solidFill>
              <a:ln w="19050">
                <a:noFill/>
              </a:ln>
              <a:effectLst/>
            </c:spPr>
            <c:extLst>
              <c:ext xmlns:c16="http://schemas.microsoft.com/office/drawing/2014/chart" uri="{C3380CC4-5D6E-409C-BE32-E72D297353CC}">
                <c16:uniqueId val="{00000023-EA3C-4B2B-BB50-E2E44A9F6B40}"/>
              </c:ext>
            </c:extLst>
          </c:dPt>
          <c:dPt>
            <c:idx val="18"/>
            <c:bubble3D val="0"/>
            <c:spPr>
              <a:solidFill>
                <a:schemeClr val="accent1">
                  <a:lumMod val="80000"/>
                </a:schemeClr>
              </a:solidFill>
              <a:ln w="19050">
                <a:noFill/>
              </a:ln>
              <a:effectLst/>
            </c:spPr>
            <c:extLst>
              <c:ext xmlns:c16="http://schemas.microsoft.com/office/drawing/2014/chart" uri="{C3380CC4-5D6E-409C-BE32-E72D297353CC}">
                <c16:uniqueId val="{00000025-EA3C-4B2B-BB50-E2E44A9F6B40}"/>
              </c:ext>
            </c:extLst>
          </c:dPt>
          <c:dPt>
            <c:idx val="19"/>
            <c:bubble3D val="0"/>
            <c:spPr>
              <a:solidFill>
                <a:schemeClr val="accent2">
                  <a:lumMod val="80000"/>
                </a:schemeClr>
              </a:solidFill>
              <a:ln w="19050">
                <a:noFill/>
              </a:ln>
              <a:effectLst/>
            </c:spPr>
            <c:extLst>
              <c:ext xmlns:c16="http://schemas.microsoft.com/office/drawing/2014/chart" uri="{C3380CC4-5D6E-409C-BE32-E72D297353CC}">
                <c16:uniqueId val="{00000027-EA3C-4B2B-BB50-E2E44A9F6B40}"/>
              </c:ext>
            </c:extLst>
          </c:dPt>
          <c:dPt>
            <c:idx val="20"/>
            <c:bubble3D val="0"/>
            <c:spPr>
              <a:solidFill>
                <a:schemeClr val="accent3">
                  <a:lumMod val="80000"/>
                </a:schemeClr>
              </a:solidFill>
              <a:ln w="19050">
                <a:noFill/>
              </a:ln>
              <a:effectLst/>
            </c:spPr>
            <c:extLst>
              <c:ext xmlns:c16="http://schemas.microsoft.com/office/drawing/2014/chart" uri="{C3380CC4-5D6E-409C-BE32-E72D297353CC}">
                <c16:uniqueId val="{00000029-EA3C-4B2B-BB50-E2E44A9F6B40}"/>
              </c:ext>
            </c:extLst>
          </c:dPt>
          <c:dPt>
            <c:idx val="21"/>
            <c:bubble3D val="0"/>
            <c:spPr>
              <a:solidFill>
                <a:schemeClr val="accent4">
                  <a:lumMod val="80000"/>
                </a:schemeClr>
              </a:solidFill>
              <a:ln w="19050">
                <a:noFill/>
              </a:ln>
              <a:effectLst/>
            </c:spPr>
            <c:extLst>
              <c:ext xmlns:c16="http://schemas.microsoft.com/office/drawing/2014/chart" uri="{C3380CC4-5D6E-409C-BE32-E72D297353CC}">
                <c16:uniqueId val="{0000002B-EA3C-4B2B-BB50-E2E44A9F6B40}"/>
              </c:ext>
            </c:extLst>
          </c:dPt>
          <c:dPt>
            <c:idx val="22"/>
            <c:bubble3D val="0"/>
            <c:spPr>
              <a:solidFill>
                <a:schemeClr val="accent5">
                  <a:lumMod val="80000"/>
                </a:schemeClr>
              </a:solidFill>
              <a:ln w="19050">
                <a:noFill/>
              </a:ln>
              <a:effectLst/>
            </c:spPr>
            <c:extLst>
              <c:ext xmlns:c16="http://schemas.microsoft.com/office/drawing/2014/chart" uri="{C3380CC4-5D6E-409C-BE32-E72D297353CC}">
                <c16:uniqueId val="{0000002D-EA3C-4B2B-BB50-E2E44A9F6B40}"/>
              </c:ext>
            </c:extLst>
          </c:dPt>
          <c:dPt>
            <c:idx val="23"/>
            <c:bubble3D val="0"/>
            <c:spPr>
              <a:solidFill>
                <a:schemeClr val="accent6">
                  <a:lumMod val="80000"/>
                </a:schemeClr>
              </a:solidFill>
              <a:ln w="19050">
                <a:noFill/>
              </a:ln>
              <a:effectLst/>
            </c:spPr>
            <c:extLst>
              <c:ext xmlns:c16="http://schemas.microsoft.com/office/drawing/2014/chart" uri="{C3380CC4-5D6E-409C-BE32-E72D297353CC}">
                <c16:uniqueId val="{0000002F-EA3C-4B2B-BB50-E2E44A9F6B40}"/>
              </c:ext>
            </c:extLst>
          </c:dPt>
          <c:dPt>
            <c:idx val="24"/>
            <c:bubble3D val="0"/>
            <c:spPr>
              <a:solidFill>
                <a:schemeClr val="accent1">
                  <a:lumMod val="60000"/>
                  <a:lumOff val="40000"/>
                </a:schemeClr>
              </a:solidFill>
              <a:ln w="19050">
                <a:noFill/>
              </a:ln>
              <a:effectLst/>
            </c:spPr>
            <c:extLst>
              <c:ext xmlns:c16="http://schemas.microsoft.com/office/drawing/2014/chart" uri="{C3380CC4-5D6E-409C-BE32-E72D297353CC}">
                <c16:uniqueId val="{00000031-EA3C-4B2B-BB50-E2E44A9F6B40}"/>
              </c:ext>
            </c:extLst>
          </c:dPt>
          <c:dPt>
            <c:idx val="25"/>
            <c:bubble3D val="0"/>
            <c:spPr>
              <a:solidFill>
                <a:schemeClr val="accent2">
                  <a:lumMod val="60000"/>
                  <a:lumOff val="40000"/>
                </a:schemeClr>
              </a:solidFill>
              <a:ln w="19050">
                <a:noFill/>
              </a:ln>
              <a:effectLst/>
            </c:spPr>
            <c:extLst>
              <c:ext xmlns:c16="http://schemas.microsoft.com/office/drawing/2014/chart" uri="{C3380CC4-5D6E-409C-BE32-E72D297353CC}">
                <c16:uniqueId val="{00000033-EA3C-4B2B-BB50-E2E44A9F6B40}"/>
              </c:ext>
            </c:extLst>
          </c:dPt>
          <c:dPt>
            <c:idx val="26"/>
            <c:bubble3D val="0"/>
            <c:spPr>
              <a:solidFill>
                <a:schemeClr val="accent3">
                  <a:lumMod val="60000"/>
                  <a:lumOff val="40000"/>
                </a:schemeClr>
              </a:solidFill>
              <a:ln w="19050">
                <a:noFill/>
              </a:ln>
              <a:effectLst/>
            </c:spPr>
            <c:extLst>
              <c:ext xmlns:c16="http://schemas.microsoft.com/office/drawing/2014/chart" uri="{C3380CC4-5D6E-409C-BE32-E72D297353CC}">
                <c16:uniqueId val="{00000035-EA3C-4B2B-BB50-E2E44A9F6B40}"/>
              </c:ext>
            </c:extLst>
          </c:dPt>
          <c:dPt>
            <c:idx val="27"/>
            <c:bubble3D val="0"/>
            <c:spPr>
              <a:solidFill>
                <a:schemeClr val="accent4">
                  <a:lumMod val="60000"/>
                  <a:lumOff val="40000"/>
                </a:schemeClr>
              </a:solidFill>
              <a:ln w="19050">
                <a:noFill/>
              </a:ln>
              <a:effectLst/>
            </c:spPr>
            <c:extLst>
              <c:ext xmlns:c16="http://schemas.microsoft.com/office/drawing/2014/chart" uri="{C3380CC4-5D6E-409C-BE32-E72D297353CC}">
                <c16:uniqueId val="{00000037-EA3C-4B2B-BB50-E2E44A9F6B40}"/>
              </c:ext>
            </c:extLst>
          </c:dPt>
          <c:dPt>
            <c:idx val="28"/>
            <c:bubble3D val="0"/>
            <c:spPr>
              <a:solidFill>
                <a:schemeClr val="accent5">
                  <a:lumMod val="60000"/>
                  <a:lumOff val="40000"/>
                </a:schemeClr>
              </a:solidFill>
              <a:ln w="19050">
                <a:noFill/>
              </a:ln>
              <a:effectLst/>
            </c:spPr>
            <c:extLst>
              <c:ext xmlns:c16="http://schemas.microsoft.com/office/drawing/2014/chart" uri="{C3380CC4-5D6E-409C-BE32-E72D297353CC}">
                <c16:uniqueId val="{00000039-EA3C-4B2B-BB50-E2E44A9F6B40}"/>
              </c:ext>
            </c:extLst>
          </c:dPt>
          <c:dPt>
            <c:idx val="29"/>
            <c:bubble3D val="0"/>
            <c:spPr>
              <a:solidFill>
                <a:schemeClr val="accent6">
                  <a:lumMod val="60000"/>
                  <a:lumOff val="40000"/>
                </a:schemeClr>
              </a:solidFill>
              <a:ln w="19050">
                <a:noFill/>
              </a:ln>
              <a:effectLst/>
            </c:spPr>
            <c:extLst>
              <c:ext xmlns:c16="http://schemas.microsoft.com/office/drawing/2014/chart" uri="{C3380CC4-5D6E-409C-BE32-E72D297353CC}">
                <c16:uniqueId val="{0000003B-EA3C-4B2B-BB50-E2E44A9F6B40}"/>
              </c:ext>
            </c:extLst>
          </c:dPt>
          <c:dPt>
            <c:idx val="30"/>
            <c:bubble3D val="0"/>
            <c:spPr>
              <a:solidFill>
                <a:schemeClr val="accent1">
                  <a:lumMod val="50000"/>
                </a:schemeClr>
              </a:solidFill>
              <a:ln w="19050">
                <a:noFill/>
              </a:ln>
              <a:effectLst/>
            </c:spPr>
            <c:extLst>
              <c:ext xmlns:c16="http://schemas.microsoft.com/office/drawing/2014/chart" uri="{C3380CC4-5D6E-409C-BE32-E72D297353CC}">
                <c16:uniqueId val="{0000003D-EA3C-4B2B-BB50-E2E44A9F6B40}"/>
              </c:ext>
            </c:extLst>
          </c:dPt>
          <c:dPt>
            <c:idx val="31"/>
            <c:bubble3D val="0"/>
            <c:spPr>
              <a:solidFill>
                <a:schemeClr val="accent2">
                  <a:lumMod val="50000"/>
                </a:schemeClr>
              </a:solidFill>
              <a:ln w="19050">
                <a:noFill/>
              </a:ln>
              <a:effectLst/>
            </c:spPr>
            <c:extLst>
              <c:ext xmlns:c16="http://schemas.microsoft.com/office/drawing/2014/chart" uri="{C3380CC4-5D6E-409C-BE32-E72D297353CC}">
                <c16:uniqueId val="{0000003F-EA3C-4B2B-BB50-E2E44A9F6B40}"/>
              </c:ext>
            </c:extLst>
          </c:dPt>
          <c:dPt>
            <c:idx val="32"/>
            <c:bubble3D val="0"/>
            <c:spPr>
              <a:solidFill>
                <a:schemeClr val="accent3">
                  <a:lumMod val="50000"/>
                </a:schemeClr>
              </a:solidFill>
              <a:ln w="19050">
                <a:noFill/>
              </a:ln>
              <a:effectLst/>
            </c:spPr>
            <c:extLst>
              <c:ext xmlns:c16="http://schemas.microsoft.com/office/drawing/2014/chart" uri="{C3380CC4-5D6E-409C-BE32-E72D297353CC}">
                <c16:uniqueId val="{00000041-EA3C-4B2B-BB50-E2E44A9F6B40}"/>
              </c:ext>
            </c:extLst>
          </c:dPt>
          <c:dPt>
            <c:idx val="33"/>
            <c:bubble3D val="0"/>
            <c:spPr>
              <a:solidFill>
                <a:schemeClr val="accent4">
                  <a:lumMod val="50000"/>
                </a:schemeClr>
              </a:solidFill>
              <a:ln w="19050">
                <a:noFill/>
              </a:ln>
              <a:effectLst/>
            </c:spPr>
            <c:extLst>
              <c:ext xmlns:c16="http://schemas.microsoft.com/office/drawing/2014/chart" uri="{C3380CC4-5D6E-409C-BE32-E72D297353CC}">
                <c16:uniqueId val="{00000043-EA3C-4B2B-BB50-E2E44A9F6B40}"/>
              </c:ext>
            </c:extLst>
          </c:dPt>
          <c:dPt>
            <c:idx val="34"/>
            <c:bubble3D val="0"/>
            <c:spPr>
              <a:solidFill>
                <a:schemeClr val="accent5">
                  <a:lumMod val="50000"/>
                </a:schemeClr>
              </a:solidFill>
              <a:ln w="19050">
                <a:noFill/>
              </a:ln>
              <a:effectLst/>
            </c:spPr>
            <c:extLst>
              <c:ext xmlns:c16="http://schemas.microsoft.com/office/drawing/2014/chart" uri="{C3380CC4-5D6E-409C-BE32-E72D297353CC}">
                <c16:uniqueId val="{00000045-EA3C-4B2B-BB50-E2E44A9F6B40}"/>
              </c:ext>
            </c:extLst>
          </c:dPt>
          <c:dPt>
            <c:idx val="35"/>
            <c:bubble3D val="0"/>
            <c:spPr>
              <a:solidFill>
                <a:schemeClr val="accent6">
                  <a:lumMod val="50000"/>
                </a:schemeClr>
              </a:solidFill>
              <a:ln w="19050">
                <a:noFill/>
              </a:ln>
              <a:effectLst/>
            </c:spPr>
            <c:extLst>
              <c:ext xmlns:c16="http://schemas.microsoft.com/office/drawing/2014/chart" uri="{C3380CC4-5D6E-409C-BE32-E72D297353CC}">
                <c16:uniqueId val="{00000047-EA3C-4B2B-BB50-E2E44A9F6B40}"/>
              </c:ext>
            </c:extLst>
          </c:dPt>
          <c:dPt>
            <c:idx val="36"/>
            <c:bubble3D val="0"/>
            <c:spPr>
              <a:solidFill>
                <a:schemeClr val="accent1">
                  <a:lumMod val="70000"/>
                  <a:lumOff val="30000"/>
                </a:schemeClr>
              </a:solidFill>
              <a:ln w="19050">
                <a:noFill/>
              </a:ln>
              <a:effectLst/>
            </c:spPr>
            <c:extLst>
              <c:ext xmlns:c16="http://schemas.microsoft.com/office/drawing/2014/chart" uri="{C3380CC4-5D6E-409C-BE32-E72D297353CC}">
                <c16:uniqueId val="{00000049-EA3C-4B2B-BB50-E2E44A9F6B40}"/>
              </c:ext>
            </c:extLst>
          </c:dPt>
          <c:dPt>
            <c:idx val="37"/>
            <c:bubble3D val="0"/>
            <c:spPr>
              <a:solidFill>
                <a:schemeClr val="accent2">
                  <a:lumMod val="70000"/>
                  <a:lumOff val="30000"/>
                </a:schemeClr>
              </a:solidFill>
              <a:ln w="19050">
                <a:noFill/>
              </a:ln>
              <a:effectLst/>
            </c:spPr>
            <c:extLst>
              <c:ext xmlns:c16="http://schemas.microsoft.com/office/drawing/2014/chart" uri="{C3380CC4-5D6E-409C-BE32-E72D297353CC}">
                <c16:uniqueId val="{0000004B-EA3C-4B2B-BB50-E2E44A9F6B40}"/>
              </c:ext>
            </c:extLst>
          </c:dPt>
          <c:dLbls>
            <c:dLbl>
              <c:idx val="2"/>
              <c:delete val="1"/>
              <c:extLst>
                <c:ext xmlns:c15="http://schemas.microsoft.com/office/drawing/2012/chart" uri="{CE6537A1-D6FC-4f65-9D91-7224C49458BB}"/>
                <c:ext xmlns:c16="http://schemas.microsoft.com/office/drawing/2014/chart" uri="{C3380CC4-5D6E-409C-BE32-E72D297353CC}">
                  <c16:uniqueId val="{00000005-EA3C-4B2B-BB50-E2E44A9F6B40}"/>
                </c:ext>
              </c:extLst>
            </c:dLbl>
            <c:dLbl>
              <c:idx val="3"/>
              <c:delete val="1"/>
              <c:extLst>
                <c:ext xmlns:c15="http://schemas.microsoft.com/office/drawing/2012/chart" uri="{CE6537A1-D6FC-4f65-9D91-7224C49458BB}"/>
                <c:ext xmlns:c16="http://schemas.microsoft.com/office/drawing/2014/chart" uri="{C3380CC4-5D6E-409C-BE32-E72D297353CC}">
                  <c16:uniqueId val="{00000007-EA3C-4B2B-BB50-E2E44A9F6B40}"/>
                </c:ext>
              </c:extLst>
            </c:dLbl>
            <c:dLbl>
              <c:idx val="4"/>
              <c:delete val="1"/>
              <c:extLst>
                <c:ext xmlns:c15="http://schemas.microsoft.com/office/drawing/2012/chart" uri="{CE6537A1-D6FC-4f65-9D91-7224C49458BB}"/>
                <c:ext xmlns:c16="http://schemas.microsoft.com/office/drawing/2014/chart" uri="{C3380CC4-5D6E-409C-BE32-E72D297353CC}">
                  <c16:uniqueId val="{00000009-EA3C-4B2B-BB50-E2E44A9F6B40}"/>
                </c:ext>
              </c:extLst>
            </c:dLbl>
            <c:dLbl>
              <c:idx val="5"/>
              <c:delete val="1"/>
              <c:extLst>
                <c:ext xmlns:c15="http://schemas.microsoft.com/office/drawing/2012/chart" uri="{CE6537A1-D6FC-4f65-9D91-7224C49458BB}"/>
                <c:ext xmlns:c16="http://schemas.microsoft.com/office/drawing/2014/chart" uri="{C3380CC4-5D6E-409C-BE32-E72D297353CC}">
                  <c16:uniqueId val="{0000000B-EA3C-4B2B-BB50-E2E44A9F6B40}"/>
                </c:ext>
              </c:extLst>
            </c:dLbl>
            <c:dLbl>
              <c:idx val="6"/>
              <c:delete val="1"/>
              <c:extLst>
                <c:ext xmlns:c15="http://schemas.microsoft.com/office/drawing/2012/chart" uri="{CE6537A1-D6FC-4f65-9D91-7224C49458BB}"/>
                <c:ext xmlns:c16="http://schemas.microsoft.com/office/drawing/2014/chart" uri="{C3380CC4-5D6E-409C-BE32-E72D297353CC}">
                  <c16:uniqueId val="{0000000D-EA3C-4B2B-BB50-E2E44A9F6B40}"/>
                </c:ext>
              </c:extLst>
            </c:dLbl>
            <c:dLbl>
              <c:idx val="7"/>
              <c:delete val="1"/>
              <c:extLst>
                <c:ext xmlns:c15="http://schemas.microsoft.com/office/drawing/2012/chart" uri="{CE6537A1-D6FC-4f65-9D91-7224C49458BB}"/>
                <c:ext xmlns:c16="http://schemas.microsoft.com/office/drawing/2014/chart" uri="{C3380CC4-5D6E-409C-BE32-E72D297353CC}">
                  <c16:uniqueId val="{0000000F-EA3C-4B2B-BB50-E2E44A9F6B40}"/>
                </c:ext>
              </c:extLst>
            </c:dLbl>
            <c:dLbl>
              <c:idx val="8"/>
              <c:delete val="1"/>
              <c:extLst>
                <c:ext xmlns:c15="http://schemas.microsoft.com/office/drawing/2012/chart" uri="{CE6537A1-D6FC-4f65-9D91-7224C49458BB}"/>
                <c:ext xmlns:c16="http://schemas.microsoft.com/office/drawing/2014/chart" uri="{C3380CC4-5D6E-409C-BE32-E72D297353CC}">
                  <c16:uniqueId val="{00000011-EA3C-4B2B-BB50-E2E44A9F6B40}"/>
                </c:ext>
              </c:extLst>
            </c:dLbl>
            <c:dLbl>
              <c:idx val="9"/>
              <c:delete val="1"/>
              <c:extLst>
                <c:ext xmlns:c15="http://schemas.microsoft.com/office/drawing/2012/chart" uri="{CE6537A1-D6FC-4f65-9D91-7224C49458BB}"/>
                <c:ext xmlns:c16="http://schemas.microsoft.com/office/drawing/2014/chart" uri="{C3380CC4-5D6E-409C-BE32-E72D297353CC}">
                  <c16:uniqueId val="{00000013-EA3C-4B2B-BB50-E2E44A9F6B40}"/>
                </c:ext>
              </c:extLst>
            </c:dLbl>
            <c:dLbl>
              <c:idx val="10"/>
              <c:delete val="1"/>
              <c:extLst>
                <c:ext xmlns:c15="http://schemas.microsoft.com/office/drawing/2012/chart" uri="{CE6537A1-D6FC-4f65-9D91-7224C49458BB}"/>
                <c:ext xmlns:c16="http://schemas.microsoft.com/office/drawing/2014/chart" uri="{C3380CC4-5D6E-409C-BE32-E72D297353CC}">
                  <c16:uniqueId val="{00000015-EA3C-4B2B-BB50-E2E44A9F6B40}"/>
                </c:ext>
              </c:extLst>
            </c:dLbl>
            <c:dLbl>
              <c:idx val="11"/>
              <c:delete val="1"/>
              <c:extLst>
                <c:ext xmlns:c15="http://schemas.microsoft.com/office/drawing/2012/chart" uri="{CE6537A1-D6FC-4f65-9D91-7224C49458BB}"/>
                <c:ext xmlns:c16="http://schemas.microsoft.com/office/drawing/2014/chart" uri="{C3380CC4-5D6E-409C-BE32-E72D297353CC}">
                  <c16:uniqueId val="{00000017-EA3C-4B2B-BB50-E2E44A9F6B40}"/>
                </c:ext>
              </c:extLst>
            </c:dLbl>
            <c:dLbl>
              <c:idx val="12"/>
              <c:delete val="1"/>
              <c:extLst>
                <c:ext xmlns:c15="http://schemas.microsoft.com/office/drawing/2012/chart" uri="{CE6537A1-D6FC-4f65-9D91-7224C49458BB}"/>
                <c:ext xmlns:c16="http://schemas.microsoft.com/office/drawing/2014/chart" uri="{C3380CC4-5D6E-409C-BE32-E72D297353CC}">
                  <c16:uniqueId val="{00000019-EA3C-4B2B-BB50-E2E44A9F6B40}"/>
                </c:ext>
              </c:extLst>
            </c:dLbl>
            <c:dLbl>
              <c:idx val="13"/>
              <c:delete val="1"/>
              <c:extLst>
                <c:ext xmlns:c15="http://schemas.microsoft.com/office/drawing/2012/chart" uri="{CE6537A1-D6FC-4f65-9D91-7224C49458BB}"/>
                <c:ext xmlns:c16="http://schemas.microsoft.com/office/drawing/2014/chart" uri="{C3380CC4-5D6E-409C-BE32-E72D297353CC}">
                  <c16:uniqueId val="{0000001B-EA3C-4B2B-BB50-E2E44A9F6B40}"/>
                </c:ext>
              </c:extLst>
            </c:dLbl>
            <c:dLbl>
              <c:idx val="14"/>
              <c:delete val="1"/>
              <c:extLst>
                <c:ext xmlns:c15="http://schemas.microsoft.com/office/drawing/2012/chart" uri="{CE6537A1-D6FC-4f65-9D91-7224C49458BB}"/>
                <c:ext xmlns:c16="http://schemas.microsoft.com/office/drawing/2014/chart" uri="{C3380CC4-5D6E-409C-BE32-E72D297353CC}">
                  <c16:uniqueId val="{0000001D-EA3C-4B2B-BB50-E2E44A9F6B40}"/>
                </c:ext>
              </c:extLst>
            </c:dLbl>
            <c:dLbl>
              <c:idx val="15"/>
              <c:delete val="1"/>
              <c:extLst>
                <c:ext xmlns:c15="http://schemas.microsoft.com/office/drawing/2012/chart" uri="{CE6537A1-D6FC-4f65-9D91-7224C49458BB}"/>
                <c:ext xmlns:c16="http://schemas.microsoft.com/office/drawing/2014/chart" uri="{C3380CC4-5D6E-409C-BE32-E72D297353CC}">
                  <c16:uniqueId val="{0000001F-EA3C-4B2B-BB50-E2E44A9F6B40}"/>
                </c:ext>
              </c:extLst>
            </c:dLbl>
            <c:dLbl>
              <c:idx val="16"/>
              <c:delete val="1"/>
              <c:extLst>
                <c:ext xmlns:c15="http://schemas.microsoft.com/office/drawing/2012/chart" uri="{CE6537A1-D6FC-4f65-9D91-7224C49458BB}"/>
                <c:ext xmlns:c16="http://schemas.microsoft.com/office/drawing/2014/chart" uri="{C3380CC4-5D6E-409C-BE32-E72D297353CC}">
                  <c16:uniqueId val="{00000021-EA3C-4B2B-BB50-E2E44A9F6B40}"/>
                </c:ext>
              </c:extLst>
            </c:dLbl>
            <c:dLbl>
              <c:idx val="17"/>
              <c:delete val="1"/>
              <c:extLst>
                <c:ext xmlns:c15="http://schemas.microsoft.com/office/drawing/2012/chart" uri="{CE6537A1-D6FC-4f65-9D91-7224C49458BB}"/>
                <c:ext xmlns:c16="http://schemas.microsoft.com/office/drawing/2014/chart" uri="{C3380CC4-5D6E-409C-BE32-E72D297353CC}">
                  <c16:uniqueId val="{00000023-EA3C-4B2B-BB50-E2E44A9F6B40}"/>
                </c:ext>
              </c:extLst>
            </c:dLbl>
            <c:dLbl>
              <c:idx val="18"/>
              <c:delete val="1"/>
              <c:extLst>
                <c:ext xmlns:c15="http://schemas.microsoft.com/office/drawing/2012/chart" uri="{CE6537A1-D6FC-4f65-9D91-7224C49458BB}"/>
                <c:ext xmlns:c16="http://schemas.microsoft.com/office/drawing/2014/chart" uri="{C3380CC4-5D6E-409C-BE32-E72D297353CC}">
                  <c16:uniqueId val="{00000025-EA3C-4B2B-BB50-E2E44A9F6B40}"/>
                </c:ext>
              </c:extLst>
            </c:dLbl>
            <c:dLbl>
              <c:idx val="19"/>
              <c:delete val="1"/>
              <c:extLst>
                <c:ext xmlns:c15="http://schemas.microsoft.com/office/drawing/2012/chart" uri="{CE6537A1-D6FC-4f65-9D91-7224C49458BB}"/>
                <c:ext xmlns:c16="http://schemas.microsoft.com/office/drawing/2014/chart" uri="{C3380CC4-5D6E-409C-BE32-E72D297353CC}">
                  <c16:uniqueId val="{00000027-EA3C-4B2B-BB50-E2E44A9F6B40}"/>
                </c:ext>
              </c:extLst>
            </c:dLbl>
            <c:dLbl>
              <c:idx val="20"/>
              <c:delete val="1"/>
              <c:extLst>
                <c:ext xmlns:c15="http://schemas.microsoft.com/office/drawing/2012/chart" uri="{CE6537A1-D6FC-4f65-9D91-7224C49458BB}"/>
                <c:ext xmlns:c16="http://schemas.microsoft.com/office/drawing/2014/chart" uri="{C3380CC4-5D6E-409C-BE32-E72D297353CC}">
                  <c16:uniqueId val="{00000029-EA3C-4B2B-BB50-E2E44A9F6B40}"/>
                </c:ext>
              </c:extLst>
            </c:dLbl>
            <c:dLbl>
              <c:idx val="21"/>
              <c:delete val="1"/>
              <c:extLst>
                <c:ext xmlns:c15="http://schemas.microsoft.com/office/drawing/2012/chart" uri="{CE6537A1-D6FC-4f65-9D91-7224C49458BB}"/>
                <c:ext xmlns:c16="http://schemas.microsoft.com/office/drawing/2014/chart" uri="{C3380CC4-5D6E-409C-BE32-E72D297353CC}">
                  <c16:uniqueId val="{0000002B-EA3C-4B2B-BB50-E2E44A9F6B40}"/>
                </c:ext>
              </c:extLst>
            </c:dLbl>
            <c:dLbl>
              <c:idx val="22"/>
              <c:delete val="1"/>
              <c:extLst>
                <c:ext xmlns:c15="http://schemas.microsoft.com/office/drawing/2012/chart" uri="{CE6537A1-D6FC-4f65-9D91-7224C49458BB}"/>
                <c:ext xmlns:c16="http://schemas.microsoft.com/office/drawing/2014/chart" uri="{C3380CC4-5D6E-409C-BE32-E72D297353CC}">
                  <c16:uniqueId val="{0000002D-EA3C-4B2B-BB50-E2E44A9F6B40}"/>
                </c:ext>
              </c:extLst>
            </c:dLbl>
            <c:dLbl>
              <c:idx val="23"/>
              <c:delete val="1"/>
              <c:extLst>
                <c:ext xmlns:c15="http://schemas.microsoft.com/office/drawing/2012/chart" uri="{CE6537A1-D6FC-4f65-9D91-7224C49458BB}"/>
                <c:ext xmlns:c16="http://schemas.microsoft.com/office/drawing/2014/chart" uri="{C3380CC4-5D6E-409C-BE32-E72D297353CC}">
                  <c16:uniqueId val="{0000002F-EA3C-4B2B-BB50-E2E44A9F6B40}"/>
                </c:ext>
              </c:extLst>
            </c:dLbl>
            <c:dLbl>
              <c:idx val="24"/>
              <c:delete val="1"/>
              <c:extLst>
                <c:ext xmlns:c15="http://schemas.microsoft.com/office/drawing/2012/chart" uri="{CE6537A1-D6FC-4f65-9D91-7224C49458BB}"/>
                <c:ext xmlns:c16="http://schemas.microsoft.com/office/drawing/2014/chart" uri="{C3380CC4-5D6E-409C-BE32-E72D297353CC}">
                  <c16:uniqueId val="{00000031-EA3C-4B2B-BB50-E2E44A9F6B40}"/>
                </c:ext>
              </c:extLst>
            </c:dLbl>
            <c:dLbl>
              <c:idx val="25"/>
              <c:delete val="1"/>
              <c:extLst>
                <c:ext xmlns:c15="http://schemas.microsoft.com/office/drawing/2012/chart" uri="{CE6537A1-D6FC-4f65-9D91-7224C49458BB}"/>
                <c:ext xmlns:c16="http://schemas.microsoft.com/office/drawing/2014/chart" uri="{C3380CC4-5D6E-409C-BE32-E72D297353CC}">
                  <c16:uniqueId val="{00000033-EA3C-4B2B-BB50-E2E44A9F6B40}"/>
                </c:ext>
              </c:extLst>
            </c:dLbl>
            <c:dLbl>
              <c:idx val="26"/>
              <c:delete val="1"/>
              <c:extLst>
                <c:ext xmlns:c15="http://schemas.microsoft.com/office/drawing/2012/chart" uri="{CE6537A1-D6FC-4f65-9D91-7224C49458BB}"/>
                <c:ext xmlns:c16="http://schemas.microsoft.com/office/drawing/2014/chart" uri="{C3380CC4-5D6E-409C-BE32-E72D297353CC}">
                  <c16:uniqueId val="{00000035-EA3C-4B2B-BB50-E2E44A9F6B40}"/>
                </c:ext>
              </c:extLst>
            </c:dLbl>
            <c:dLbl>
              <c:idx val="27"/>
              <c:delete val="1"/>
              <c:extLst>
                <c:ext xmlns:c15="http://schemas.microsoft.com/office/drawing/2012/chart" uri="{CE6537A1-D6FC-4f65-9D91-7224C49458BB}"/>
                <c:ext xmlns:c16="http://schemas.microsoft.com/office/drawing/2014/chart" uri="{C3380CC4-5D6E-409C-BE32-E72D297353CC}">
                  <c16:uniqueId val="{00000037-EA3C-4B2B-BB50-E2E44A9F6B40}"/>
                </c:ext>
              </c:extLst>
            </c:dLbl>
            <c:dLbl>
              <c:idx val="28"/>
              <c:delete val="1"/>
              <c:extLst>
                <c:ext xmlns:c15="http://schemas.microsoft.com/office/drawing/2012/chart" uri="{CE6537A1-D6FC-4f65-9D91-7224C49458BB}"/>
                <c:ext xmlns:c16="http://schemas.microsoft.com/office/drawing/2014/chart" uri="{C3380CC4-5D6E-409C-BE32-E72D297353CC}">
                  <c16:uniqueId val="{00000039-EA3C-4B2B-BB50-E2E44A9F6B40}"/>
                </c:ext>
              </c:extLst>
            </c:dLbl>
            <c:dLbl>
              <c:idx val="29"/>
              <c:delete val="1"/>
              <c:extLst>
                <c:ext xmlns:c15="http://schemas.microsoft.com/office/drawing/2012/chart" uri="{CE6537A1-D6FC-4f65-9D91-7224C49458BB}"/>
                <c:ext xmlns:c16="http://schemas.microsoft.com/office/drawing/2014/chart" uri="{C3380CC4-5D6E-409C-BE32-E72D297353CC}">
                  <c16:uniqueId val="{0000003B-EA3C-4B2B-BB50-E2E44A9F6B40}"/>
                </c:ext>
              </c:extLst>
            </c:dLbl>
            <c:dLbl>
              <c:idx val="30"/>
              <c:delete val="1"/>
              <c:extLst>
                <c:ext xmlns:c15="http://schemas.microsoft.com/office/drawing/2012/chart" uri="{CE6537A1-D6FC-4f65-9D91-7224C49458BB}"/>
                <c:ext xmlns:c16="http://schemas.microsoft.com/office/drawing/2014/chart" uri="{C3380CC4-5D6E-409C-BE32-E72D297353CC}">
                  <c16:uniqueId val="{0000003D-EA3C-4B2B-BB50-E2E44A9F6B40}"/>
                </c:ext>
              </c:extLst>
            </c:dLbl>
            <c:dLbl>
              <c:idx val="31"/>
              <c:delete val="1"/>
              <c:extLst>
                <c:ext xmlns:c15="http://schemas.microsoft.com/office/drawing/2012/chart" uri="{CE6537A1-D6FC-4f65-9D91-7224C49458BB}"/>
                <c:ext xmlns:c16="http://schemas.microsoft.com/office/drawing/2014/chart" uri="{C3380CC4-5D6E-409C-BE32-E72D297353CC}">
                  <c16:uniqueId val="{0000003F-EA3C-4B2B-BB50-E2E44A9F6B40}"/>
                </c:ext>
              </c:extLst>
            </c:dLbl>
            <c:dLbl>
              <c:idx val="32"/>
              <c:delete val="1"/>
              <c:extLst>
                <c:ext xmlns:c15="http://schemas.microsoft.com/office/drawing/2012/chart" uri="{CE6537A1-D6FC-4f65-9D91-7224C49458BB}"/>
                <c:ext xmlns:c16="http://schemas.microsoft.com/office/drawing/2014/chart" uri="{C3380CC4-5D6E-409C-BE32-E72D297353CC}">
                  <c16:uniqueId val="{00000041-EA3C-4B2B-BB50-E2E44A9F6B40}"/>
                </c:ext>
              </c:extLst>
            </c:dLbl>
            <c:dLbl>
              <c:idx val="33"/>
              <c:delete val="1"/>
              <c:extLst>
                <c:ext xmlns:c15="http://schemas.microsoft.com/office/drawing/2012/chart" uri="{CE6537A1-D6FC-4f65-9D91-7224C49458BB}"/>
                <c:ext xmlns:c16="http://schemas.microsoft.com/office/drawing/2014/chart" uri="{C3380CC4-5D6E-409C-BE32-E72D297353CC}">
                  <c16:uniqueId val="{00000043-EA3C-4B2B-BB50-E2E44A9F6B40}"/>
                </c:ext>
              </c:extLst>
            </c:dLbl>
            <c:dLbl>
              <c:idx val="34"/>
              <c:delete val="1"/>
              <c:extLst>
                <c:ext xmlns:c15="http://schemas.microsoft.com/office/drawing/2012/chart" uri="{CE6537A1-D6FC-4f65-9D91-7224C49458BB}"/>
                <c:ext xmlns:c16="http://schemas.microsoft.com/office/drawing/2014/chart" uri="{C3380CC4-5D6E-409C-BE32-E72D297353CC}">
                  <c16:uniqueId val="{00000045-EA3C-4B2B-BB50-E2E44A9F6B40}"/>
                </c:ext>
              </c:extLst>
            </c:dLbl>
            <c:dLbl>
              <c:idx val="35"/>
              <c:layout>
                <c:manualLayout>
                  <c:x val="-0.1103455403017372"/>
                  <c:y val="0.40504952908793523"/>
                </c:manualLayout>
              </c:layout>
              <c:spPr>
                <a:noFill/>
                <a:ln>
                  <a:noFill/>
                </a:ln>
                <a:effectLst>
                  <a:outerShdw blurRad="50800" dist="50800" sx="1000" sy="1000" algn="ctr" rotWithShape="0">
                    <a:srgbClr val="000000"/>
                  </a:outerShdw>
                </a:effectLst>
              </c:spPr>
              <c:txPr>
                <a:bodyPr rot="0" spcFirstLastPara="1" vertOverflow="ellipsis" vert="horz" wrap="none" lIns="38100" tIns="19050" rIns="38100" bIns="19050" anchor="ctr" anchorCtr="0">
                  <a:noAutofit/>
                </a:bodyPr>
                <a:lstStyle/>
                <a:p>
                  <a:pPr>
                    <a:defRPr sz="2800" b="1" i="0" u="none" strike="noStrike" kern="1200" baseline="0">
                      <a:solidFill>
                        <a:schemeClr val="tx1">
                          <a:lumMod val="75000"/>
                          <a:lumOff val="25000"/>
                        </a:schemeClr>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575731758156956"/>
                      <c:h val="0.34004593175853021"/>
                    </c:manualLayout>
                  </c15:layout>
                </c:ext>
                <c:ext xmlns:c16="http://schemas.microsoft.com/office/drawing/2014/chart" uri="{C3380CC4-5D6E-409C-BE32-E72D297353CC}">
                  <c16:uniqueId val="{00000047-EA3C-4B2B-BB50-E2E44A9F6B40}"/>
                </c:ext>
              </c:extLst>
            </c:dLbl>
            <c:dLbl>
              <c:idx val="36"/>
              <c:delete val="1"/>
              <c:extLst>
                <c:ext xmlns:c15="http://schemas.microsoft.com/office/drawing/2012/chart" uri="{CE6537A1-D6FC-4f65-9D91-7224C49458BB}"/>
                <c:ext xmlns:c16="http://schemas.microsoft.com/office/drawing/2014/chart" uri="{C3380CC4-5D6E-409C-BE32-E72D297353CC}">
                  <c16:uniqueId val="{00000049-EA3C-4B2B-BB50-E2E44A9F6B40}"/>
                </c:ext>
              </c:extLst>
            </c:dLbl>
            <c:dLbl>
              <c:idx val="37"/>
              <c:delete val="1"/>
              <c:extLst>
                <c:ext xmlns:c15="http://schemas.microsoft.com/office/drawing/2012/chart" uri="{CE6537A1-D6FC-4f65-9D91-7224C49458BB}"/>
                <c:ext xmlns:c16="http://schemas.microsoft.com/office/drawing/2014/chart" uri="{C3380CC4-5D6E-409C-BE32-E72D297353CC}">
                  <c16:uniqueId val="{0000004B-EA3C-4B2B-BB50-E2E44A9F6B40}"/>
                </c:ext>
              </c:extLst>
            </c:dLbl>
            <c:spPr>
              <a:noFill/>
              <a:ln>
                <a:noFill/>
              </a:ln>
              <a:effectLst/>
            </c:spPr>
            <c:txPr>
              <a:bodyPr rot="0" spcFirstLastPara="1" vertOverflow="ellipsis" vert="horz" wrap="none" lIns="38100" tIns="19050" rIns="38100" bIns="19050" anchor="ctr" anchorCtr="0">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Filtered!$G$2:$G$39</c:f>
              <c:numCache>
                <c:formatCode>General</c:formatCode>
                <c:ptCount val="38"/>
                <c:pt idx="2" formatCode="0.00%">
                  <c:v>2.3565979236108816E-4</c:v>
                </c:pt>
                <c:pt idx="3" formatCode="0.00%">
                  <c:v>3.7631612969268521E-2</c:v>
                </c:pt>
                <c:pt idx="4" formatCode="0.00%">
                  <c:v>1.0755475765196476E-3</c:v>
                </c:pt>
                <c:pt idx="5" formatCode="0.00%">
                  <c:v>1.8070819290832821E-2</c:v>
                </c:pt>
                <c:pt idx="6" formatCode="0.00%">
                  <c:v>3.745562148410702E-2</c:v>
                </c:pt>
                <c:pt idx="7" formatCode="0.00%">
                  <c:v>1.0028059398140162E-3</c:v>
                </c:pt>
                <c:pt idx="8" formatCode="0.00%">
                  <c:v>1.8619865143961373E-2</c:v>
                </c:pt>
                <c:pt idx="9" formatCode="0.00%">
                  <c:v>3.990310963529761E-4</c:v>
                </c:pt>
                <c:pt idx="10" formatCode="0.00%">
                  <c:v>1.8403736044900476E-2</c:v>
                </c:pt>
                <c:pt idx="11" formatCode="0.00%">
                  <c:v>4.4309977207091823E-4</c:v>
                </c:pt>
                <c:pt idx="12" formatCode="0.00%">
                  <c:v>4.7079483894858894E-2</c:v>
                </c:pt>
                <c:pt idx="13" formatCode="0.00%">
                  <c:v>3.7405888454183689E-2</c:v>
                </c:pt>
                <c:pt idx="14" formatCode="0.00%">
                  <c:v>6.0744987646949777E-3</c:v>
                </c:pt>
                <c:pt idx="15" formatCode="0.00%">
                  <c:v>1.3991328734693385E-2</c:v>
                </c:pt>
                <c:pt idx="16" formatCode="0.00%">
                  <c:v>1.4812138973888188E-2</c:v>
                </c:pt>
                <c:pt idx="17" formatCode="0.00%">
                  <c:v>5.837893025181589E-2</c:v>
                </c:pt>
                <c:pt idx="18" formatCode="0.00%">
                  <c:v>1.8400326103668829E-2</c:v>
                </c:pt>
                <c:pt idx="19" formatCode="0.00%">
                  <c:v>3.3711970488805221E-4</c:v>
                </c:pt>
                <c:pt idx="20" formatCode="0.00%">
                  <c:v>0</c:v>
                </c:pt>
                <c:pt idx="21" formatCode="0.00%">
                  <c:v>7.3902784002903052E-2</c:v>
                </c:pt>
                <c:pt idx="22" formatCode="0.00%">
                  <c:v>7.2417692288625227E-2</c:v>
                </c:pt>
                <c:pt idx="23" formatCode="0.00%">
                  <c:v>4.8732251822324706E-3</c:v>
                </c:pt>
                <c:pt idx="24" formatCode="0.00%">
                  <c:v>3.0096639773672345E-3</c:v>
                </c:pt>
                <c:pt idx="25" formatCode="0.00%">
                  <c:v>1.5544347384602265E-3</c:v>
                </c:pt>
                <c:pt idx="26" formatCode="0.00%">
                  <c:v>3.0982997919731933E-3</c:v>
                </c:pt>
                <c:pt idx="27" formatCode="0.00%">
                  <c:v>1.5418949911203317E-2</c:v>
                </c:pt>
                <c:pt idx="28" formatCode="0.00%">
                  <c:v>1.5178203528765789E-3</c:v>
                </c:pt>
                <c:pt idx="29" formatCode="0.00%">
                  <c:v>3.2449918385718868E-2</c:v>
                </c:pt>
                <c:pt idx="30" formatCode="0.00%">
                  <c:v>8.5927550915860365E-2</c:v>
                </c:pt>
                <c:pt idx="31" formatCode="0.00%">
                  <c:v>5.3903127489342067E-4</c:v>
                </c:pt>
                <c:pt idx="32" formatCode="0.00%">
                  <c:v>5.9248544566844343E-2</c:v>
                </c:pt>
                <c:pt idx="33" formatCode="0.00%">
                  <c:v>3.9812910458930963E-2</c:v>
                </c:pt>
                <c:pt idx="34" formatCode="0.00%">
                  <c:v>1.4617659036600293E-3</c:v>
                </c:pt>
                <c:pt idx="35" formatCode="0.00%">
                  <c:v>0.23898417918681533</c:v>
                </c:pt>
                <c:pt idx="36" formatCode="0.00%">
                  <c:v>1.4033029710353475E-2</c:v>
                </c:pt>
                <c:pt idx="37" formatCode="0.00%">
                  <c:v>2.1932685358401136E-2</c:v>
                </c:pt>
              </c:numCache>
            </c:numRef>
          </c:val>
          <c:extLst>
            <c:ext xmlns:c16="http://schemas.microsoft.com/office/drawing/2014/chart" uri="{C3380CC4-5D6E-409C-BE32-E72D297353CC}">
              <c16:uniqueId val="{0000004C-EA3C-4B2B-BB50-E2E44A9F6B40}"/>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0" i="0" u="sng" strike="noStrike" kern="1200" spc="0" baseline="0">
                <a:solidFill>
                  <a:schemeClr val="dk1"/>
                </a:solidFill>
                <a:latin typeface="+mn-lt"/>
                <a:ea typeface="+mn-ea"/>
                <a:cs typeface="+mn-cs"/>
              </a:defRPr>
            </a:pPr>
            <a:r>
              <a:rPr lang="en-US" sz="1800" b="1" u="sng">
                <a:solidFill>
                  <a:schemeClr val="accent5">
                    <a:lumMod val="50000"/>
                  </a:schemeClr>
                </a:solidFill>
              </a:rPr>
              <a:t>Top 10 State - Wise Enrolments</a:t>
            </a:r>
          </a:p>
        </c:rich>
      </c:tx>
      <c:layout>
        <c:manualLayout>
          <c:xMode val="edge"/>
          <c:yMode val="edge"/>
          <c:x val="0.19307263806953867"/>
          <c:y val="1.9467783862126397E-2"/>
        </c:manualLayout>
      </c:layout>
      <c:overlay val="0"/>
      <c:spPr>
        <a:noFill/>
        <a:ln>
          <a:noFill/>
        </a:ln>
        <a:effectLst/>
      </c:spPr>
      <c:txPr>
        <a:bodyPr rot="0" spcFirstLastPara="1" vertOverflow="ellipsis" vert="horz" wrap="square" anchor="ctr" anchorCtr="1"/>
        <a:lstStyle/>
        <a:p>
          <a:pPr algn="l">
            <a:defRPr sz="1800" b="0" i="0" u="sng"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strRef>
              <c:f>Filtered!$N$14</c:f>
              <c:strCache>
                <c:ptCount val="1"/>
                <c:pt idx="0">
                  <c:v>Total Enrolment (Pre-Primary to Higher secondary) - Total</c:v>
                </c:pt>
              </c:strCache>
            </c:strRef>
          </c:tx>
          <c:spPr>
            <a:solidFill>
              <a:schemeClr val="accent5">
                <a:lumMod val="50000"/>
              </a:schemeClr>
            </a:solidFill>
            <a:ln>
              <a:solidFill>
                <a:schemeClr val="accent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Filtered!$M$15:$M$24</c:f>
              <c:strCache>
                <c:ptCount val="10"/>
                <c:pt idx="0">
                  <c:v>Uttar Pradesh</c:v>
                </c:pt>
                <c:pt idx="1">
                  <c:v>Rajasthan</c:v>
                </c:pt>
                <c:pt idx="2">
                  <c:v>Madhya Pradesh</c:v>
                </c:pt>
                <c:pt idx="3">
                  <c:v>Maharashtra</c:v>
                </c:pt>
                <c:pt idx="4">
                  <c:v>Tamil Nadu</c:v>
                </c:pt>
                <c:pt idx="5">
                  <c:v>Karnataka</c:v>
                </c:pt>
                <c:pt idx="6">
                  <c:v>Gujarat</c:v>
                </c:pt>
                <c:pt idx="7">
                  <c:v>Telangana</c:v>
                </c:pt>
                <c:pt idx="8">
                  <c:v>Andhra Pradesh</c:v>
                </c:pt>
                <c:pt idx="9">
                  <c:v>Bihar</c:v>
                </c:pt>
              </c:strCache>
            </c:strRef>
          </c:cat>
          <c:val>
            <c:numRef>
              <c:f>Filtered!$N$15:$N$24</c:f>
              <c:numCache>
                <c:formatCode>General</c:formatCode>
                <c:ptCount val="10"/>
                <c:pt idx="0">
                  <c:v>21095448</c:v>
                </c:pt>
                <c:pt idx="1">
                  <c:v>7584938</c:v>
                </c:pt>
                <c:pt idx="2">
                  <c:v>6523496</c:v>
                </c:pt>
                <c:pt idx="3">
                  <c:v>6392405</c:v>
                </c:pt>
                <c:pt idx="4">
                  <c:v>5229947</c:v>
                </c:pt>
                <c:pt idx="5">
                  <c:v>5153185</c:v>
                </c:pt>
                <c:pt idx="6">
                  <c:v>4155768</c:v>
                </c:pt>
                <c:pt idx="7">
                  <c:v>3514338</c:v>
                </c:pt>
                <c:pt idx="8">
                  <c:v>3321792</c:v>
                </c:pt>
                <c:pt idx="9">
                  <c:v>3306257</c:v>
                </c:pt>
              </c:numCache>
            </c:numRef>
          </c:val>
          <c:extLst>
            <c:ext xmlns:c16="http://schemas.microsoft.com/office/drawing/2014/chart" uri="{C3380CC4-5D6E-409C-BE32-E72D297353CC}">
              <c16:uniqueId val="{00000000-0651-4CFE-ADDD-053DB8AB6EAE}"/>
            </c:ext>
          </c:extLst>
        </c:ser>
        <c:dLbls>
          <c:dLblPos val="outEnd"/>
          <c:showLegendKey val="0"/>
          <c:showVal val="1"/>
          <c:showCatName val="0"/>
          <c:showSerName val="0"/>
          <c:showPercent val="0"/>
          <c:showBubbleSize val="0"/>
        </c:dLbls>
        <c:gapWidth val="182"/>
        <c:axId val="1059390191"/>
        <c:axId val="1059389231"/>
      </c:barChart>
      <c:catAx>
        <c:axId val="1059390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59389231"/>
        <c:crossesAt val="0"/>
        <c:auto val="1"/>
        <c:lblAlgn val="ctr"/>
        <c:lblOffset val="100"/>
        <c:noMultiLvlLbl val="0"/>
      </c:catAx>
      <c:valAx>
        <c:axId val="10593892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dk1"/>
                </a:solidFill>
                <a:latin typeface="+mn-lt"/>
                <a:ea typeface="+mn-ea"/>
                <a:cs typeface="+mn-cs"/>
              </a:defRPr>
            </a:pPr>
            <a:endParaRPr lang="en-US"/>
          </a:p>
        </c:txPr>
        <c:crossAx val="1059390191"/>
        <c:crosses val="autoZero"/>
        <c:crossBetween val="between"/>
      </c:valAx>
      <c:spPr>
        <a:noFill/>
        <a:ln>
          <a:noFill/>
        </a:ln>
        <a:effectLst/>
      </c:spPr>
    </c:plotArea>
    <c:plotVisOnly val="1"/>
    <c:dispBlanksAs val="gap"/>
    <c:showDLblsOverMax val="0"/>
  </c:chart>
  <c:spPr>
    <a:gradFill rotWithShape="1">
      <a:gsLst>
        <a:gs pos="0">
          <a:schemeClr val="accent4">
            <a:tint val="65000"/>
            <a:lumMod val="110000"/>
          </a:schemeClr>
        </a:gs>
        <a:gs pos="88000">
          <a:schemeClr val="accent4">
            <a:tint val="90000"/>
          </a:schemeClr>
        </a:gs>
      </a:gsLst>
      <a:lin ang="5400000" scaled="0"/>
    </a:gradFill>
    <a:ln w="12700" cap="rnd"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2000" u="sng">
                <a:solidFill>
                  <a:schemeClr val="accent5">
                    <a:lumMod val="50000"/>
                  </a:schemeClr>
                </a:solidFill>
              </a:rPr>
              <a:t>Total No. of Girls vs Boys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pieChart>
        <c:varyColors val="1"/>
        <c:ser>
          <c:idx val="0"/>
          <c:order val="0"/>
          <c:spPr>
            <a:effectLst>
              <a:outerShdw blurRad="50800" dist="38100" dir="5400000" algn="t" rotWithShape="0">
                <a:prstClr val="black">
                  <a:alpha val="40000"/>
                </a:prstClr>
              </a:outerShdw>
            </a:effectLst>
            <a:scene3d>
              <a:camera prst="orthographicFront"/>
              <a:lightRig rig="threePt" dir="t"/>
            </a:scene3d>
            <a:sp3d>
              <a:bevelT/>
            </a:sp3d>
          </c:spPr>
          <c:dPt>
            <c:idx val="0"/>
            <c:bubble3D val="0"/>
            <c:spPr>
              <a:solidFill>
                <a:schemeClr val="accent5">
                  <a:shade val="76000"/>
                </a:schemeClr>
              </a:solidFill>
              <a:ln>
                <a:noFill/>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1-392E-489A-8528-160F0249CCC1}"/>
              </c:ext>
            </c:extLst>
          </c:dPt>
          <c:dPt>
            <c:idx val="1"/>
            <c:bubble3D val="0"/>
            <c:spPr>
              <a:solidFill>
                <a:schemeClr val="accent5">
                  <a:tint val="77000"/>
                </a:schemeClr>
              </a:solidFill>
              <a:ln>
                <a:noFill/>
              </a:ln>
              <a:effectLst>
                <a:outerShdw blurRad="50800" dist="38100" dir="5400000" algn="t"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3-392E-489A-8528-160F0249CCC1}"/>
              </c:ext>
            </c:extLst>
          </c:dPt>
          <c:dLbls>
            <c:dLbl>
              <c:idx val="0"/>
              <c:layout>
                <c:manualLayout>
                  <c:x val="-0.20874736540090086"/>
                  <c:y val="1.5029041947373907E-2"/>
                </c:manualLayout>
              </c:layout>
              <c:spPr>
                <a:noFill/>
                <a:ln>
                  <a:noFill/>
                </a:ln>
                <a:effectLst/>
              </c:spPr>
              <c:txPr>
                <a:bodyPr rot="0" spcFirstLastPara="1" vertOverflow="ellipsis" vert="horz" wrap="square" anchor="ctr" anchorCtr="1"/>
                <a:lstStyle/>
                <a:p>
                  <a:pPr>
                    <a:defRPr sz="20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2E-489A-8528-160F0249CCC1}"/>
                </c:ext>
              </c:extLst>
            </c:dLbl>
            <c:dLbl>
              <c:idx val="1"/>
              <c:layout>
                <c:manualLayout>
                  <c:x val="0.20235359174163006"/>
                  <c:y val="-2.6681069198480064E-2"/>
                </c:manualLayout>
              </c:layout>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2E-489A-8528-160F0249CCC1}"/>
                </c:ext>
              </c:extLst>
            </c:dLbl>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Filtered!$E$1:$F$1</c:f>
              <c:strCache>
                <c:ptCount val="2"/>
                <c:pt idx="0">
                  <c:v>Total Boys (in %)</c:v>
                </c:pt>
                <c:pt idx="1">
                  <c:v>Total Girls (in %)</c:v>
                </c:pt>
              </c:strCache>
            </c:strRef>
          </c:cat>
          <c:val>
            <c:numRef>
              <c:f>Filtered!$E$2:$F$2</c:f>
              <c:numCache>
                <c:formatCode>0%</c:formatCode>
                <c:ptCount val="2"/>
                <c:pt idx="0">
                  <c:v>0.55705399248834131</c:v>
                </c:pt>
                <c:pt idx="1">
                  <c:v>0.44294600751165869</c:v>
                </c:pt>
              </c:numCache>
            </c:numRef>
          </c:val>
          <c:extLst>
            <c:ext xmlns:c16="http://schemas.microsoft.com/office/drawing/2014/chart" uri="{C3380CC4-5D6E-409C-BE32-E72D297353CC}">
              <c16:uniqueId val="{00000004-392E-489A-8528-160F0249CCC1}"/>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accent4">
            <a:tint val="65000"/>
            <a:lumMod val="110000"/>
          </a:schemeClr>
        </a:gs>
        <a:gs pos="88000">
          <a:schemeClr val="accent4">
            <a:tint val="90000"/>
          </a:schemeClr>
        </a:gs>
      </a:gsLst>
      <a:lin ang="5400000" scaled="0"/>
      <a:tileRect/>
    </a:gradFill>
    <a:ln w="12700" cap="rnd" cmpd="sng" algn="ctr">
      <a:solidFill>
        <a:schemeClr val="accent4"/>
      </a:solidFill>
      <a:prstDash val="solid"/>
      <a:round/>
    </a:ln>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sng" strike="noStrike" kern="1200" spc="0" baseline="0">
                <a:solidFill>
                  <a:schemeClr val="accent5">
                    <a:lumMod val="50000"/>
                  </a:schemeClr>
                </a:solidFill>
                <a:latin typeface="+mn-lt"/>
                <a:ea typeface="+mn-ea"/>
                <a:cs typeface="+mn-cs"/>
              </a:defRPr>
            </a:pPr>
            <a:r>
              <a:rPr lang="en-IN" sz="1800" b="1" u="sng">
                <a:solidFill>
                  <a:schemeClr val="accent5">
                    <a:lumMod val="50000"/>
                  </a:schemeClr>
                </a:solidFill>
              </a:rPr>
              <a:t>Top 10 States with Lowest Gender Gap</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accent5">
                  <a:lumMod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Filtered!$N$2</c:f>
              <c:strCache>
                <c:ptCount val="1"/>
                <c:pt idx="0">
                  <c:v>Gender Gap</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Filtered!$M$3:$M$12</c:f>
              <c:strCache>
                <c:ptCount val="10"/>
                <c:pt idx="0">
                  <c:v>Lakshadweep</c:v>
                </c:pt>
                <c:pt idx="1">
                  <c:v>Mizoram</c:v>
                </c:pt>
                <c:pt idx="2">
                  <c:v>Andaman and Nicobar Islands</c:v>
                </c:pt>
                <c:pt idx="3">
                  <c:v>Ladakh</c:v>
                </c:pt>
                <c:pt idx="4">
                  <c:v>Goa</c:v>
                </c:pt>
                <c:pt idx="5">
                  <c:v>Sikkim</c:v>
                </c:pt>
                <c:pt idx="6">
                  <c:v>Meghalaya</c:v>
                </c:pt>
                <c:pt idx="7">
                  <c:v>Dadra &amp; Nagar Haveli and Daman &amp; Diu</c:v>
                </c:pt>
                <c:pt idx="8">
                  <c:v>Chandigarh</c:v>
                </c:pt>
                <c:pt idx="9">
                  <c:v>Arunachal Pradesh</c:v>
                </c:pt>
              </c:strCache>
            </c:strRef>
          </c:cat>
          <c:val>
            <c:numRef>
              <c:f>Filtered!$N$3:$N$12</c:f>
              <c:numCache>
                <c:formatCode>General</c:formatCode>
                <c:ptCount val="10"/>
                <c:pt idx="0">
                  <c:v>0</c:v>
                </c:pt>
                <c:pt idx="1">
                  <c:v>146</c:v>
                </c:pt>
                <c:pt idx="2">
                  <c:v>722</c:v>
                </c:pt>
                <c:pt idx="3">
                  <c:v>1488</c:v>
                </c:pt>
                <c:pt idx="4">
                  <c:v>2669</c:v>
                </c:pt>
                <c:pt idx="5">
                  <c:v>3349</c:v>
                </c:pt>
                <c:pt idx="6">
                  <c:v>5343</c:v>
                </c:pt>
                <c:pt idx="7">
                  <c:v>5439</c:v>
                </c:pt>
                <c:pt idx="8">
                  <c:v>8309</c:v>
                </c:pt>
                <c:pt idx="9">
                  <c:v>9078</c:v>
                </c:pt>
              </c:numCache>
            </c:numRef>
          </c:val>
          <c:extLst>
            <c:ext xmlns:c16="http://schemas.microsoft.com/office/drawing/2014/chart" uri="{C3380CC4-5D6E-409C-BE32-E72D297353CC}">
              <c16:uniqueId val="{00000000-439F-4A04-97F0-82D7285029CF}"/>
            </c:ext>
          </c:extLst>
        </c:ser>
        <c:dLbls>
          <c:dLblPos val="outEnd"/>
          <c:showLegendKey val="0"/>
          <c:showVal val="1"/>
          <c:showCatName val="0"/>
          <c:showSerName val="0"/>
          <c:showPercent val="0"/>
          <c:showBubbleSize val="0"/>
        </c:dLbls>
        <c:gapWidth val="182"/>
        <c:axId val="1205490319"/>
        <c:axId val="1205492719"/>
      </c:barChart>
      <c:dateAx>
        <c:axId val="1205490319"/>
        <c:scaling>
          <c:orientation val="maxMin"/>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dk1"/>
                </a:solidFill>
                <a:latin typeface="+mn-lt"/>
                <a:ea typeface="+mn-ea"/>
                <a:cs typeface="+mn-cs"/>
              </a:defRPr>
            </a:pPr>
            <a:endParaRPr lang="en-US"/>
          </a:p>
        </c:txPr>
        <c:crossAx val="1205492719"/>
        <c:crosses val="autoZero"/>
        <c:auto val="0"/>
        <c:lblOffset val="100"/>
        <c:baseTimeUnit val="days"/>
      </c:dateAx>
      <c:valAx>
        <c:axId val="120549271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5490319"/>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tint val="65000"/>
            <a:lumMod val="110000"/>
          </a:schemeClr>
        </a:gs>
        <a:gs pos="88000">
          <a:schemeClr val="accent4">
            <a:tint val="90000"/>
          </a:schemeClr>
        </a:gs>
      </a:gsLst>
      <a:lin ang="5400000" scaled="0"/>
    </a:gradFill>
    <a:ln w="12700" cap="rnd"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Enrolment of Student 2021-22</cx:v>
        </cx:txData>
      </cx:tx>
      <cx:txPr>
        <a:bodyPr spcFirstLastPara="1" vertOverflow="ellipsis" horzOverflow="overflow" wrap="square" lIns="0" tIns="0" rIns="0" bIns="0" anchor="ctr" anchorCtr="1"/>
        <a:lstStyle/>
        <a:p>
          <a:pPr algn="ctr" rtl="0">
            <a:defRPr/>
          </a:pPr>
          <a:r>
            <a:rPr lang="en-US" sz="1800" b="1" i="0" u="sng" strike="noStrike" baseline="0">
              <a:solidFill>
                <a:schemeClr val="accent5">
                  <a:lumMod val="40000"/>
                  <a:lumOff val="60000"/>
                </a:schemeClr>
              </a:solidFill>
              <a:effectLst>
                <a:outerShdw blurRad="50800" dist="50800" dir="5400000" sx="1000" sy="1000" algn="ctr" rotWithShape="0">
                  <a:srgbClr val="000000"/>
                </a:outerShdw>
              </a:effectLst>
              <a:latin typeface="Trebuchet MS" panose="020B0603020202020204"/>
            </a:rPr>
            <a:t>Total Enrolment of Student 2021-22</a:t>
          </a:r>
        </a:p>
      </cx:txPr>
    </cx:title>
    <cx:plotArea>
      <cx:plotAreaRegion>
        <cx:plotSurface>
          <cx:spPr>
            <a:gradFill rotWithShape="1">
              <a:gsLst>
                <a:gs pos="0">
                  <a:schemeClr val="accent4">
                    <a:tint val="65000"/>
                    <a:lumMod val="110000"/>
                  </a:schemeClr>
                </a:gs>
                <a:gs pos="88000">
                  <a:schemeClr val="accent4">
                    <a:tint val="90000"/>
                  </a:schemeClr>
                </a:gs>
              </a:gsLst>
              <a:lin ang="5400000" scaled="0"/>
            </a:gradFill>
            <a:ln w="12700" cap="rnd" cmpd="sng" algn="ctr">
              <a:solidFill>
                <a:schemeClr val="accent4"/>
              </a:solidFill>
              <a:prstDash val="solid"/>
            </a:ln>
            <a:effectLst/>
          </cx:spPr>
        </cx:plotSurface>
        <cx:series layoutId="regionMap" uniqueId="{6E82E4E8-63C4-4706-958C-78CCC20E8846}">
          <cx:spPr>
            <a:effectLst>
              <a:outerShdw blurRad="50800" dist="38100" dir="1800000" sx="94000" sy="94000" algn="t" rotWithShape="0">
                <a:prstClr val="black">
                  <a:alpha val="37000"/>
                </a:prstClr>
              </a:outerShdw>
            </a:effectLst>
          </cx:spPr>
          <cx:dataLabels>
            <cx:spPr>
              <a:noFill/>
            </cx:spPr>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Trebuchet MS" panose="020B0603020202020204"/>
                </a:endParaRPr>
              </a:p>
            </cx:txPr>
            <cx:visibility seriesName="0" categoryName="1" value="1"/>
            <cx:separator>
</cx:separator>
            <cx:dataLabel idx="35">
              <cx:txPr>
                <a:bodyPr spcFirstLastPara="1" vertOverflow="ellipsis" horzOverflow="overflow" wrap="square" lIns="0" tIns="0" rIns="0" bIns="0" anchor="ctr" anchorCtr="1"/>
                <a:lstStyle/>
                <a:p>
                  <a:pPr algn="ctr" rtl="0">
                    <a:defRPr sz="900"/>
                  </a:pPr>
                  <a:r>
                    <a:rPr lang="en-US" sz="900" b="0" i="0" u="none" strike="noStrike" baseline="0">
                      <a:solidFill>
                        <a:sysClr val="windowText" lastClr="000000">
                          <a:lumMod val="65000"/>
                          <a:lumOff val="35000"/>
                        </a:sysClr>
                      </a:solidFill>
                      <a:latin typeface="Trebuchet MS" panose="020B0603020202020204"/>
                    </a:rPr>
                    <a:t>West Bengal
1936027</a:t>
                  </a:r>
                </a:p>
              </cx:txPr>
            </cx:dataLabel>
          </cx:dataLabels>
          <cx:dataId val="0"/>
          <cx:layoutPr>
            <cx:geography cultureLanguage="en-US" cultureRegion="IN" attribution="Powered by Bing">
              <cx:geoCache provider="{E9337A44-BEBE-4D9F-B70C-5C5E7DAFC167}">
                <cx:binary>1H1Zcxw30u1fUejhPt2iCzswd/xFuLqbRVLULluWXyraElWF2jfU9uu/bJHUdMNNkYY5EZd6mRg3
C52VByeRmThA//vz9K/P+dW2fTYVedn96/P08/Ok7+t//fRT9zm5KrbdSaE/t1VXfe1PPlfFT9XX
r/rz1U9f2u2oy/gn7CP60+dk2/ZX0/P/+TeMFl9Vl9Xnba+r8q25aud3V53J++4Hnx396Nn2S6HL
te76Vn/u0c/Pf+17sPJNu/1y1SXPn12Vve7nD3N99fPzgz99/uwne8C/fPmzHOzrzRd4FvMThQnj
CPnX/9DzZ3lVxjcfS/+EcU4YlkR9+0duv/rVtoDHH2zVN5u2X760V10H7/btf//y+MGLwKdvnj/7
XJmy33kxBof+/Py8/KK3z5/prlpdf7Cqdm9x/urba/906P//+bf1H8AR1n/Zg8j22n0f/QWhX8ov
22JbPtuWX5690p+rPwGv8y6H/9vdOu2f44XwCQegsPTpAVAKn0iCMJfEvwZK3X7nNVCOxh2H7YeD
WSD+AtA8IRBXSbLte93F2/YxWYZOMOeSKoaPsgyf+BRhwXx8iNpDrTkO0+HTFi6rD08Kl1+6blvc
Ouef0wjCHmGUSIXkd7rshb0dmwAO5avjYe9ea44DcvOYhcQv758WEuWXpN0+/kqE2IlgjAEg/4lg
e5AIdaI4o4gpenQlgpj0QLPuwMZ63gbpaa1FH7aFzp+92n4xj8cZhE58xCFPkPJg6RHyhPrCxz4T
t192veY8zIjjcOw/a0Hx4WmtKC+3pa5Ne+uaR4hd9EQQygnfW+r3iKLIiRRKCobE99B2nS1eo/IA
e45D8v1BC4+XTwuPX1pTbiFlzx8/hGFxwhSBVYXdZNOwnO8jw0+QL4jgtwGO306Kmxzt71h2HKMj
L2eh9cu7J7XaBBqKq1s3PQJ32AkHcjDEyNFEDD72FedUAXL7pLnXjONw3DxmQRA8LQhWCZQw+nET
YuKfCKwgBZO7agb+HZadgp8I6UMEYzcxDIqdfTgeZtJxTPaftYBZnT0pbqy30IZ49n+2Rf3/YKkH
gJ6dbYerXH+rQNffatHrD9f6EdMA7J/Q6ypGHoVuV4juAJVWq+DaIJhKz+4x5zhs1uMWctan/6zg
POwi7DdL/BOEFaZIHRbfgkBg9ylm4qa8s6brNVC7V9+H6XZKH4tqd/lgB/hfx/mLM47/2T/zitU5
+e/2UtZXeaJ/5KC/2eWSJ5wSonx+PNyIE4QYFbAuXKdM1sJ8rzV3wHX9EjY6l08qyIQV9NuuY++x
ifr3cIAaD9JWTBQ+WnYLeuIzzBXH+BoHdvvV1wnSPbYcR+HbQxYG4S9PCwOTbtttf+uMf44Dhi6i
whyJm0huL78I8ljhQ1OYHeVDeL89d2Bx+6CNx8WTwuNs287b8hF5gdUJUhKWFZjwewUDpEGE+pj6
9GapteLSA+w4jsP3By0czp5WZnqmi/9SJUfQ9bYIl0cbtkKcYMIxIvwOYP6GYXcg9JcRbKieVkPq
jfliYEOtbefHi2LQkJIKI47JcZDUiQD8BPDne6K6X0Q8zKTj8Ow/awHz5tOTimUX26Iw33LKF9su
KfQjFtuEwOahUIz5N2kV7EntRze2a4dwSMmOZ13Xll1XMA+w7ThQRwexELt48bQQg45ItqvJH49J
mJxw2APG6nab97DDKxkASRGB7cXrfMCqby4eYtEd+PznURuVp1WMv9i25bbfZo+YFSBo9CIoK+kd
WRq0E4Fe0Mo6vkn1IIuOo7L3qIXKi6eVOb+4arf5Y0ICzQ8KzXUhgAL7sYzDHojEQJKbAtPqH95v
xx1A3Nhvo/C0asjL7ZdtljxeuIKFRSHoMOHbvUBrYYE2PJTyFPLm64Xf6kTdb85xMG6fs8C4fFqU
eP1Fd8kjUgL6gQwRn1JyUywegiEptAsl7LX76hoMq6a/35zjYNw+Z4Hx+mlVMJfbDMD4Ml5d1Y9H
D8iLseDADXujFtorFCsOe4O3X3bdV3mgFceBOHjYQuNy/aQyq5fbL8n8X5A2QHrFiITdDHa8ZS5P
sJSKE3KTCFvx6uFmHUfIft4C6eXTqiRfbiFlhFKlbx8xiCF1QkGbJSGGfa8VD5d35EtF8I32RFkE
eqBNd8Gz90I2Nk8rCX55FcPG+nZ+RGQw1B6wT4iIuMlyD5cXtYt1UOZDt/K6NIGP94v8B1l0By7/
eRkblaeVfr3US9U+qnqOnBAfBCY+OawTv4lQuY+Vf1yj9QBD7oDi9g1sIP54UuvLbvdvpwe+naKP
0MjnJ9Cml9ClPNpiUZB8cVh4YDP9+p+l0HqIQccR+c+TFiSvnhY33pgy3f75eICAsEFSDPsmGFy9
v4KwE6gNJSTBN4oGa42/347jONw+Z6HwJnhSxHi3TbddDz2txwMCFL5MUgICk5u5DxX5Ph6gktv1
JUEwf3Sr8UEWHYdk71ELlXdPa5vrvc4y/Ziia6jLhe8TkIp+X6v3IJGgIxWgCgLx1XWwsna77jfn
OB63z1lgvH9aXd8PV7ByxI+664jECXCDMxDBH3JDnfi+2p1WuFnG4eP9nOpBphzHYu9RC44P4ZOK
WB/anaj3MfNcciIo8+Ew1l8SXNilF7DTeMMKq/R4gCF3QHH7BjYQT6uD8u0EGnQXHzWtglUcdjt8
OLNzU1X8hSCgdiewXXITxyxMHmjTcVwOHraw+fVpxayPV13/LLiCsJXfRpBHSHl3KzecA/HFYYYl
xYkSIB6it3WiBcoDjTkOysHDFigf///OtY6r/vYVXQd/8XfPj2I4SAVtEWSVgnBcB5Rewock6/of
up0B1y3Hm4Ocd5txHIebxw4s/i+fCrV0j3vHQr+fq13Dxt/m24HcB3/67fXgrLD16IHS7uAtb913
/uXn5whB9fD9mO9uiIP1+cC33//+CjLsn58rAXUIEoQxOEICu4ccVpsRaPrzcy5BgwQCSNBdK9jK
8gkgVlZtn/z8nIgTYBskChy6LAR6ZLD51VVm9xEItbkPlJMCCyhwFAjnb1/tTZXPcVV+99LN/39W
muJNpcu++/k5jFNf/9XOTA8jKih0SXfttfrz9h2csIY/Qv+3i6aoyrTiZwlaK/a6GyCR/v7+f2Pc
3fftjauwHniXT2LTsyRPgmWZ548J5hOcaHEZHlDZHz4VXjaPUyk2Sdu07buRL378IZ6W6uuPx4fE
96hboITZH18VSyZNFvGNwqxb3taoUH6QkJShALa+ChxQ0vTR6Y+/7C4MAP79L+sA+3SMS76ZOiJJ
IH0St0E1cwk9mB85C6L00ZfxD8cXqvHrVM18Y1BNXyI00uL96Kc+v5xlX06hJxbeBsXc1JCg/OgL
73ghCTN9/4Vq6deD2H3hkCsxXVSJicyKdibRmx9/wW6gI7N2t9uy/wVSL6PfG8I2Y9aJ8YLPJMKr
OutwcsmyJMUvkclMtmq6ppxF4OcUNad+mQzt2Y+/H+1cd8yAnav3pnctii5j3cw2Jo6HZiWxDAVB
X+uMNGMWNPE4FIGZhXdZjTHKNgZXlSwDL5a4gC6Oi493M3fPgjyeiyFnI7hAYrYibfVVsFHf8353
AWhFhQqYOsq5Z5t57sTvfjVXQTSY9LWb6VZsyGWqeUdatsmI1lc+XAFxWXo6Myu34a3YUHkjq5uE
sU3ei+E3NDY0mKJFuEUeaUWGNh/TusYN2/SVtywbf/KGds3rqhKO5lvRAE8xknOeQjSoqElXM+cT
DZoGqLR2848VDnA6e2XV1V5YVrPgbzrYtO5/K/reuyd23jF5hMX+TvrGHycmw6VCxWaOqdcGk866
9h4H7SbhEe4Ji/yqymhu8ByFlSeX4nRsUT1s8nFGet3ohCrHr7EoTmgVybH2RNj3BvdnJa9Kf7OU
KJ82te7HyY1qwuJxUw1NRKZChjXOlg9ZOyevS9hi/vBjrO/ylUXkMZskGiHtCLE36U3etYJcxnSu
mo8Zk9l0j6vuQnz33/diUSLjOpOilmGb0/ncKxb/tYpRm0P67hDqBDkcvor07INzeGhEg6fATyf6
iS9VvXEb3mK0GUQFXXzOwyEHBPo8LjbUeKJ2tN7is9GknPM5lSHthgwwmOXkBZ0/68XxCyw+Z8pj
jZrA+woVTXleI1aOmzYVy/jGyUG7xHUfXoFn0iFv4qHqEv2bkF33ZtJxM99j/26mH+Ezt/hcqGFk
qYlFWORdE70TRdGY30izKP+i9xIl3kKuS/i527tYrBZzC2eV4Dx9WBPa67N+IZMKkqwYfTc+c4vP
k54b3uNWhFkX1/S8K/Agg9TQ9r61eeeWY+6yKD3HaewXI8ynJprrdp3GRIg3hbcM/CLuoyLbTDGe
y9/zQpI/TBmP5T2euyvn4RbL8ymORLWMEHdzmdcXiddFAjL7TEFaJ/sxpX1Q9ukyrHTC6+I0m5ZY
rDkdSfV+8HtuHB1sRYM54p6QmReFhfDMmuhRhFLk5J7JiHa0POZefDjZ2dBPusGNCom/tNVmQdHQ
b1i0LPlZrYiYX8ddUX2tPToWZ3SRJXs1EYLLl1hImf4uM8zYPabcEVW5FThkmbK6GjUNaxF1ZMUX
dVVP09i4BW1uhY28JRzNUyrC1qvHMO4RzYOYyPiLE9GYFTQMarlM05iGcT3JTwyW0led7xVuMZtZ
MaMhcZl6nlAhy6GSWRkkiyUwup27e2bZHSzbXbCxH/M63cwMT60M+3mM8Lmkbev/OdUIGJfgxK+C
Upu6CPDC6/hzXSwddoOFWfGDjGUOk6jlIZdRYYK6wV0RzIZ6jssFs+LHQpesMbwVG9MwtOHzEK8X
XnlrN9itIMEj5ZdpMy1hZ+I+XEqRBryt03ti0B2UYBb34YqUxJtgaQhTrIsV7lG6juYKO04qi/pQ
9VQS6WoJMdSNgZ+gj2VM78ta7zLdYjPidUmnPF7CWMz9SzOXPuQCTYJSx3lj0TlJTV+Tdl5CLyrU
OR6mbB0RSUMnWKnFZlIPrO4zGL2PMF2NRHRBVyDtZju12CxLvMhBAKxej5NVRswQ8ExQtzhKLSqn
vtf6Y9QtYYN0ftqpMl4NjC6nP/bMjjZH1gtq8bWMWLIsyBvD0WNXUHZmwynts7oM+1FwxzewKEsG
MZRpFo0hAeK+U32VbhCtMrdynFqU7UtIhcaFj2FFGT+HK1bMOp1Lx3BDLcqivsgjuaQmjLucvtB5
IV7WU+5ousVYWKijLEOkD5sqjdCqZbhbiWTKkvWPwb2DtNQiLYviLvMWaPPUpZ4usj7uL00U5Y6k
sigL/VFvQCbtT1sTj917Mvoyf81ayRO3ebPb39xfxDKkhyYe8AQpoVlWWc0+zWou75n4d/hmtwux
PzhLvYxKGQ2bJk9QQDqDg0Yp42i6RVpSpxRHqRzA896nFkN+V6opcoOVWJzN6qX1vI7fmE5xgwM2
cFfTbbYyGRmZoGGjRmga493onbtjdnDs1dqZP9RR3sHoU6qSlZGZCTjHqaPbLbYmlMkKRCQwOsVX
jab5aaxjx84WsdiawUWwUscwuFpMEeZCtVB58cktN9htouw7ZuqJiPI5Gzasj8ZgQgMOUB31bksU
sbhaJDUuK+KbTTksZTAm+sqkC3LzOrZ42i1tX1fJaDZFltCAU/bJGzrsOLjFUz9iLZkTr9+Ixi/X
3aS3nVk6x8EtmjadmlLIhM0m5SoJeKrzwLRYOI5u8VSQ1Iu1p8B0ZdDLDrZH3kQizt22qLDF08lQ
XFIYOVwQXEMcLKXkbO31nuzc5gy2qIqbSRWmjodwpkXZBh6pWViPuP/stDhhi6tIR7itpgJW1qjL
L1TaoXWXpfPGbXR8SCfTRjWJZ2bCXpE/UIrfdpS8dRvaZmo3p8U8e32oE+8VhMdPMxaOvUJs8VRp
XQhUij5Mx0SuTcI+VFlUuQGKLJ6WWee1ShoTerrXqzwVlwI3vttk3ynD9uMXbAuPdTdJb1Pm0xc9
o4+YFSBKcWigIoulUo+xB+v1HMKwXR8suEt4MHckdgu9yOLpEDOTZLTtQxDt+L/THuJA0OkFuWUa
yCKqaXLs51FlwqJql3U1iT8TXUeObrdIGkndiEG3JmRzO6+KogbTs/t2XneDHCkOduKBfUxVyamu
vaIPYbdfvZRdjF7mXlR/dIPVoijucd/CJeYwHZMoCUgx/i6kdoTU4uhCK5VGSWbClg0kQHL6lDfy
jZvdFkfpSKdRExjbS7sP1MwvGe1eOg3tWwytxiiKexL3Gz/yvJWXRpd68R37A77FUITqWiwe9jZw
k+HrYhafZDvnbqHFtyjqJZCntxX4JE/Kt1VcnUZF4hbJfYudtB5nMkEDf1Mtw1k74heUua2gvkXM
emY9r2qo7XgRX8pqCss2cttm3d25vs8cnfdTYgwYXRe/LoNZpeI3txliUTJXaVsvGYBIk+zPdlJv
5cLd4tTuSvF9m00zZNM88j6cuxR9WOYeh6kh3drNcIuRpIymMtWqDzsPpAS4zM5UpH53G9tiZJbr
jsGFCN6GachuPZ9vqSJuCxsImw/dAhO7aXIfluRE8ylgHfXWSonBiThw8vZwdNkNoqds8DYNf99W
awldbBefUGUxMomThjbJ3IdGgphjJF0doIZ/cBvc4uQI+13zXEbdBiX12ZjD3n5D0t5ppoCY/NAl
rTF+5uUwuMzZG2Lqz5rOraNXLF7CPVqz30jVbdqCvGEw9mQG17EtaqJRC0ImBG1jTPxLI+P0oqET
d/SKxc6ko0MO+SxMFLbwYPHTX3OeOCVYoMk89PikDB0zBcyfyNynK59GvFpjyIC0U2ihyiJoPRY0
gr2aPoxpvfXG4SNsPvzqNBVtsdZAiN9yAn4xJmbrxmQ6IHC3k1MeAQ2hQ8+0ySCgHz2B4dP0xlT+
xTQ0jgyVFkPTQvhUJKQLZUZe5iA43MD1IdjN49JiqIlb0FyaoQ/9On9LvXyVtolTkkKlzU/mlXNM
ii7EmOHVWKB2hWj61Q1Oi6Az7Ch0sug7UDPwT3E3XWjB3rsNbfFzavsok9hrwxnlY5BXojkti9RN
hkFtYVXFxlINoBUKYQtpWZdL9UqQ7j6Nwe7t/5qIU2kR1NS4yxI0tmEFWps86EzrvfAGf37n5hmL
nqNHICpSA4gO85cOMripk386DW2rqXpYeJKaV12Y8fjdVNfnflG4zUNbSDVEMuNpTttwGZpkM4wx
Xnt5+dnNbouceqFR105ZF6qkXmV0flXI+9LOHU+OgGlLpkYP+sFDLdowKQZmglbw9GXD6ykYU2zm
lZv9FklZVk5lVrE2zDX5I0/oR6/OPrgNbVF0AsVjzkXUAv+H7mzoWhSggbpt1VFbLRXjhOmWYDCc
oo/F4JUB9erf3Cy319CpqbPWT7qQYU3HzULMTINS5km2dvsCi6c0iWNpZA5TcvLe6gJ/0I1bLU6F
xdFcswYKZhg6mtXb3tevI8KdtqGoLZDK5RwVzTC3IYkKHHoS929RPGonpS+cKj9cQrEYfDZomImR
v8zB3DYhoY7qNMotmhZT5PVTl7RhOdR+4A/itBljt+4wnHo4tLxvqTFUgcshPL4YZvwiZ5Mbh7hF
TzXGuUmbuA1FFJeBWOYXqtVu+2bUVjopmCX+hLM2RNXwhqDmsvV7R7utNbTVsDvBR68JOy4/atS+
zbPGqYij3CJnNNEii+u0DTl4JlAgQg+auZBu8dBWI/Ukbby0Ug3s2yTNqsXZW+OpX51Yb0uRfB/q
rJL5TRhrUqTBCI2KjfE97uYYW4qUpgpUaekMvFFzsZKG83e59hc3RG0p0pAyHoHWrgkX1eIV6ugr
WEndds+pLUMyXikrNlUwXSpF/Qxi7QzXWgVSDZlTDwd2+A85ClpgX8VTCb6Pk1GsSmiehVFEG7d9
BGrLjebMGNkWUR1Kr8ua1TDWxVejxOhYNDJ6aD8qsE9H5dVhm8zduoh5GoCH2KnTzLQFR0JMk/QH
vw5NzvHK5yBihx+hcYyPzGJsn4MCryNlHXZUxH2AFpxts3kq48DNems1nXTL23EC31RJWgW6L36d
cuS25jF7OcXVWHjCgN9LWZ/Nnd+djnmVnDlZbuuNBjKQuc7HOkwjtnz0qyg+gx8RqDM3x9iCIwJx
kuEZYFVl1HSnwkhCAxZVvHH8AmtZhc24rCrrATxPuvG8beWvSZO79eapLTkSWYFBY9zWoaD9ex13
b8esf+/md2tZjaN5JHkeN6Eo1R9lNaIggesHHZ1iUbWBlrn0TFGHpE3lHwI2Fc5MVgyOU8ZaWXvf
m+aFsCoEpqqAg/Ql8GZPbNwcgw/DTDt7sEefw+hsmE3AUH2RlfepmL6loEcKGltm1OgJ5HUSV+HA
szgKYLc4hWAj9JSt4kLF2VlRz+N7U3T5OemIx8M+SRr2AY64ieYN9P+69r0SBT/LYF+yOkuzkvJA
5Bqa8fHUSH8MFpo27a9jgz2z8uemzLZVknjNikNiideIQa99I2ozmXWOoEu24rBLPZ2bxpNpiMWU
0POoSsd5hXzoJvzugbJ3PkUk7cSaiAnGHHPdL6dxo5IOTtvhxZwWGE/LuhsKUv4xCUqjNz3lXvpn
h1jThHLBagjbCd53XfcL26T+wOSqFBhlKz6L2JzFqIrVJZclnAvzmwW/hx+2GIMB8/a81l27hH6l
5Hw6FvlA10NLY7YZxEihhZ0nA13FeV1UkM8qNa9kq4kIikq36MVYRqk6zwnqabiAt8cVI9lwvixe
8aotB5+uqT8MS5BGbbS8z1FaCbcshFoBs5io4ZkhVchZUkHXxwtwTJQbtWylF6HRDIlkXocJL64i
mr2PhHaz29Z5DbATM+UY7GYmCjuVX0QMuTUHiRUl2QDKFAQdpBB+lGQKIk9lgcpR5egTK7Np/Zjw
DDbtwhinaTBlzVeetm5JH7HiZArHW4dS+FVoZlO/gtNg+qwifeEWyogVKBOufVNi3oVxm9FLCvkr
KP9N/8kplBErULZFPAxDPVRhJmPzWyubBZr5pewd3W5FyqbUPRwTUVWooKkcMJxeJkvsdtKM2iIv
HygMv2xWV+Fc1VGxrvwxDafG145Vji3zQqVGi0dgRvK4YNMGd6VZAuGxrFk7Od+WevVFM0Ze0lch
bFR9HWt6wbzO7UQH3P17uEbVZmyHZhZVmPgKdGR9J6Z8RVSKv7rZbtF1YM1CBoPrMG/UIgNRNQT2
2CXGbloMii3GjnWZI3+KIUGAH38PjBjTjdbaMUGw9V61GKN0iWEJhz2adgWKMr6qvdEP3ZxjcXb0
4ag002UFp2rz/IKTgfUBb1rupu+nttqrS8sYhEwVhOHSiIukJP4fUNPObq1gbJFWTEWzFB3kq9DK
ms4jGplQ+L1wnPRWHYJJbpTerU6pLuJVNzZxYPqicAs4tuQLtWgyE9TJoTeX5CoBtfnVUpjCTfkJ
v0B3yCqGSZkmaVaH8Isbg3eeqRKt/Ggc2T17h3ecq6O28AvOtkYRz2UZLjki7Yc600O1ikSJ6/XY
Vd4HOHD2yvNUnq4hi8vUKlZQjJ4mHmOVG/q2PgwOBXPfpJB/jnOTyJVXpHABRZGUde5WRtsCMe6T
BWqWXWSKehS9KHQM587mZu59t+6ULRFbfNPC8VpchnDTs86CaUxHGqQZHRwTLGTRm3dL0ZYYvmA2
GGTLi/kI6v3PTqHDVonlfTH3yixlWLdlt5pi8nXpmavhFrPjZkFdl4kihNz2NMfZBcadWwvg2xHK
PSl64Xl+PMINImFPh26VeRS2GsblnZtTrHS5T/I2RuNQhpFp5cYkOA4Kph2XSlsnNgpdlSUgGup2
8v4s0pF8bj1Ybpxst4ViXUrLipaoCCHXeiWG5UXexPfc5bKbb0dKRVsnFk+wz8jbqgy7CScXKG9l
EOtqdFvEbKnYmHEth4wUIclkFQeplM1FIkyZuNHUFoxRNVWEl34RClamq0bJs4yi2W0dsCVjbV3G
caR0GSqajJddW9CV6NPh7Y8x3WX2xxxvZc1qzOZhRLC+5wttIOX3u1htch9V1YZDVVe65Vi2hkzO
PJKcxFXoG9LXQcL6dEctX1Vua/Hu9wf3RWqFp7tmUBrmJsPvTe+/i1HkOO0tysJNFr30W7Adumts
rVto5S8GlU7wwlVzh4aXMBm9DFSBGyTa6N0we/X7MmFup5ngVq3D0XNdIuPjLt/FYPm2LggLe82k
k9OJrSWrobvgR0WZw2Y4dCWqRr71aKwdHWNlzWbuy9nMOgeFAFzhtILDh82nJVfV4Di+VevChTRR
VPdtHi6t+BN6Ry8LkXz8MamORzOyu91sfzLSwYfdajghCIdWqygNms4MVyNp3K7eIMrirIbyrUyi
ndtrGUHDsZPnBWfGabrDL6seGl/h1ExLC8ZHcQJtJ4TrAK5UcVuhiC0pU3wRM+ug/4bGHs3rUoMe
YZWWZTo4NV/g1otD8+UwRjVktnmIEj6vZez7byo4z/fOCVlbVTZzDR2usfHWMYqn6iL1kf8K45qZ
e6z/1mn5azwmtrAMfnQYT5wbmDrcsOJ1g1BpznQ2NO0pFGIGn8JderxbNyyfqktvhqrgshZpU3yC
35akp4bj5VxQb2aBWiIDtyvMXpa9Lko24VXRNLNeLXESLX9W0azNaVnDmrsyLJ0+k4LSF0Od9hez
ToZTEpkRhoA7MJLALzRdPiQIzre8zXb3VHwotay7NRRsdIFP23GV+KD8fJXWibes4a87/ZLgqBqc
EkliC+JA19jg3YHkTRyh9NWgMnWJNY7dFlhiS+IqL2MVdEezEE/+FcfNW4XiN27TxYoxUGvOhcfH
LCQL6GxzTM9x1d13kcYuEB6bKlaUMcYr4qWbsrCp4a6O87Zb8nGtZlA9rEeoEOJz+F3kPPnk9iZW
zEGNgh/0G1gWerXHNzQb89OlzuNf3Ua3Yk4yRwZqRJKFQ0WTtRctH/sU3+ennbOP+clKDZAfa5O1
Jgt5bvR7UFXT1zKJp+2UIu+ezuZdX2EFHT9SIsZ1k226iWR8nfRN2+hgaKHZfq5HONF2T1F9B+S2
ag7kCbEZeB5vYt1n2alhEwJ1mJdvdLFIvAJFt1tXidgiujiB3knU5uC0EnsgdOMfIRA5LmC7e3f3
10cPLhyBRkCZhQi243oynvYE3ROg70DCFtEJAlrOBc7grrO4Ef25yjt2WkkF+/48HnLfSV1Adj9/
tf8CDMbmWgsPrumAiwThrHv8u2qE29FWsvtlwP3Ru1k1Ws9tGgrB+lPQXMsgSpBbsQK/gnM4+qCh
FUkMSkJNJT2th7lYS6Wd6jgiLCL7vEZ5LvJojQZ94UckoBV39LlF45n4eVf1MPSy0E2kmtNCY6f6
EC4ZPnTJDLeu6U5l0TrT+IVg3ouGu3XxiK2hA1nh7iJcHa3rdGwu0q7rQ4+R905h05bQRUwkw0w8
mOwo7jZ13dJgVjk9dRvdYqmvsjZivqdDobv6BahePzbx7HY5LLE1dDEXsTdgo8N8xvmpUX155je5
mxSV2DI6b55gP6VodajTtFnXibz0RNtt3Pxi0XNK/cZ0pFLrvqB6OsV4/LVus8ytqQh3Xh9OxqRS
fZPTUq3LoXmV5VWYtpXbIm5L6eZkmuIihkQq740OSlP6qyVn90Te3esfWWZtJd0A6vwFTvgBibqh
CkA1tqo53Cjs5nOLoQtc0tMNfa3h1FIxr8q4rpogakvlJkiDC6kPna6KGc5cZEzBQatqwYHMo/ZF
NWXa7RwksdV0hpdRKRqi1sW4wJ7tW1AB3OOZb63aI363tXSULwgup4qTEM0eGV74umBwwCiGi0M/
wE1JVaiZWkggmqFgGw7dtXH1v5x9yZKkupbtDxVmgFA3BdwjPPrsIpsJdrI5dBIISSDE19fyGtWN
V+feZzFNs3T3ADV7r72axY90gx2nYfG8rDJdTofJ2vwvzWm+3TSC9PxdCDx5y8LbkyWD74a/tkvW
t5eepGI9dW50U/2udfGWhjf1vUdcVcfr3XYMB1Qc1qnqkExNfr3vC95sduvH9dgas57WuTMnLYpQ
G1m8C2kmb2l4KNkoMUSvp+zq+xXoAqV2wd/Fr4an/r8uacO3wjUeH76t8G5WrljKWeXv4/gR+uY2
LroVavh1Wk/5kJmKjNlQApH4+b6H/ma3z6NAzAxp/GnLO12KJIGAay/S991rb0l4LbimaZEQf5rB
rCnn0bZPihP/+q7f/paDVwRjSMYWf0okph7FeLSnPtL3PZi3nl+9DdmMQaw/waMyf5n0Pv5k6cHf
Vwa9JeAdtAuLXzd3miamKjhXwxGmaN7nekKKNzWzkp4cRFB36vluz7Tx8BdPxvfN2Mlbty8ScnKo
0bsTCboD48p/hrx6/w9n7D9cbW/NvtawwDKLR3eKPDvKMR1txcd31irFm31Kx5UlZMFTPzTsWoKP
f6e2e5+WkLyl4CWH0UujyHpqoZ6pZei6Cufx+4b35C3364AMouk3FFbc5D+dJp90l79PXo1E+n89
vjoNSHk2xXrqU5uWu8mbU9OARvfvd+k/tIlv2V8qG5d8nIk4s0bR7aVbda/PkeXKngtrcAv++6/5
h4XzlgnWbKQpsgF/BM1FUm85batpX9/HBCNv/b5M13DvGT69bae+FqCBVXKOv9/3099s13HAcQA+
oz2Z3cSq18tQO9287+J7ywSTpki9ptSetnHdzroTeQkD4+N9N99bJljUaDcOG+zJd4c6Z278cmQD
fecrfbNdj04Xxwys52RExyut9qECJfV9tH9M9f911U88cs9FY06JTmw1HGYqiYnvc26CAvpfP70p
CmWzgZlT75euOqhWlYBNfv2uFfOWA7ZmEZCzbcV5GKbj85Ga/XVIp//kW/8PW+ktC6whIWQryMon
ajPoUa4Fh0Fs5vtO+GvW5v+GXJBwA7g6SnkuEkDnW/JrVtPn9z2WK5b3v+gEY5ZnDfIz+Bk+X40q
twPsRN/t7tv7Pv7NPs3UTOYjtfJMjZ5AwB121j2wTE3ifXv1rd2XcWJFFW/kWbqsHGR+p9J3VmJv
yV8w4lp8zPHRusD1d+VDTO8jJJK3zC+EQfRNxxd5Pq7WR2PIiqroRHjncnmzTYdUdf6Ic1HDhet2
suYlZe9zE0Rm3L8ul5SCVES0LmoG+sMwJQ/F1H9411L5fyhfsBHqLJmKOmerzm4Ko6C77oJev7zv
898MmyeTLYNaZ34u5myHhXrhirurVO8/+QleN+P/0em+5XP1yWgKERp21iZxt77ZNv3keNq2J+hU
eXNp9RG6R380/x/N9f+0qv/Xl77ZvjzmzbQNi0LbuodprzLVq9ycxhG7Tp27Zh9VucwacTXlRBbc
7fsQ7cQvszKs02c01sOoS3WMW7x0TUyavwgJoN1NKSitY0mGeIRQosgxy8OIZGbzuLkmZOyyJwVf
xtIeqk36MiWyJ21pPTcohGaGV1dSucztX8Z2es3KYuS9vpBjhN1zHdHQ87aOyxZsNUYy7J9gIRe2
vqQjIn5g8x373U1lJteEFaWMsIYfbzMzMljfa2CWXpfQFagVP9Dxefpico1GZuCD+FsbjX+261Js
NQPdl5QrntBYbVvI+5sjrjuzqJGJm/6aAdrytdxtlmahpIK13fepL0b5S7crgn4g5ETQuC7h9jXE
b1eS3q05dNzLCaZRrgqhd9lYcwgnm9OBkU1+SvJmd1UjsNJktbEQqa7z7aDpfSY2Js89XQ8NXdgy
x1ukBEwVZ2Zjj0O69qJOexJI1XG2oAoTWtRCwwC33JeWLRP4m8PctbWX6Pd5BYRkb2f8smWyvBQ5
49CNbP1NU3CUjThLmF7v8Lbmri+tQGVXyixRul71lP9YvGZ1iMfOf639EcnZ2JmOT4fNBXvtFuTP
PxHfEPJwNJ1Y21od0KgUZxnWDI4IB+OreoRCQ+B9mb43+HFtesh2PadwNUY1ptP5GG8jI3v4uQjd
z201bwCDLxwKJPk52/nuYqWmAklirUiuNpBqVVNIoGI5QNqCgw5ft/UU8S7n+ZJTAGn5hY2T6MqR
jfLMxm6qZrYHbYGmxMRt18pyc/fp6sZTsDijntjcrsPnfc/bSWA5zPl6Hgh1ezW3XZHDJbaLqkZf
04nvwpNpvpf7gcavo+m62zIYDzC/lILyHBWU94SQSlJChg/ZKCw7w2Bl3O+nPGRAtVMPb7UDY2a/
tdBupdExDyYng8laqtafuUqgmbEbL8wnTnUm6q5xdPiJ3kcobBpdzFvtBjq7p3FNW/YZ9KxFn4fI
IROSczrTu4Mm+fiQdWE8fveTmlcoZmwyF08LNm13mkwX84vR2bB87RIt0hzH29gyWnJdSPOUej9m
P4uhaUQsm1bq9iaEbaN3qe2L+dsQWKQVPO9TqNHbQDIJa2fK1K/Gh3Zsy3EZxU9K2GK+Ql1+dBWm
S7i7oPOY4yNYfU7gP89J8Wse7HZcdG5i/DweaZZVpsNO+jUUWOa37ZgfT16m7TnNFzE8C7tydkpF
b7qPy9jtx0uAwCNPMImGb4Cor07E7OKCn6a/R0xuuvuBLSTezPOgmpsll5m9XxeEZFYDgrHz74Ih
uPF3FsbmCRLy5A5jpOMXpC26HAJt6xYGQUm994cId8iQ2I5bmAeRb0r2hayNgtLxA4+dmp6ytumz
S5j7NZ6SpRv2Wxltym4428f0a8qasfnYLbI1lYk+gSfikEoHEY1mCPLbDkfto0sPn16IYUZ9QXBH
Mz+vVPLunHbjzGu/DxvOzkCF7c7gT2f2cZEb+6XgCTBVDSDD8NztqcVR0s17ODE6e9vWKaZV2/04
wOD43LSrgbwm4Vv7uRNOFhdtjGGlbxLLfnadHEzVTm70QymmrEkRdFSQ/eKUdr72IU+T2rspz8pJ
HcF8J17iF9Q0bTPYGe74FX3SOlsOe+Km03S15ClhaHeMT0uAMO1EjQ0/8jQGhni1FlGRFaIg2CPK
pfZPgy3Mq0F1ua6YDnT+GhfkM8LgSGtYnpVkPI7+EjxUsp8j8ulsU3aL5zvO+8OEeS4Hj2s6lEC8
N/crrBuhr4jgsLgQRrjVyI8Kn3J9kcav9oQQR0w6T1PINS2h/ZzojZKZHE/b1hIVyzbz4rgPu2uB
WuyIsZK3aRNRI0LJ1nUXh5S1pDxs3yefGB1tXncFW5PapVsmax6PY3i16UGG280fQd6sek6aegl5
Ex8IwnJe0swN/ScgR3kcy14pL89wjW/9nRzRwTxFQGLiXIw97jvfNHQBz7vo9gfdpsNYzYfNfFUY
yxPoFqxr+gD13OGyjz4dNcQYU+H9S7+nPL+dMTIenmY43fVLucUCATrwFS+XYGV2yYh0/pm6JZn+
yvtdqAemiMMamzqtut9EiQMrQcOyzZ3mVvTbGX/ZPpyoHgv3hY1b19y5th/IBSJaph5XmyPg64Tj
SLEauUyk+XPAKhme5q4b6K2b+7YFtxkKLKwRAR+lu27w0dyaQRNwhnNwiNOTM0g9LDcfp/wTvlO8
blnn9x8KpvHQpMu8m4tqgf1iWyU4n5pqb8z+aciZJ7dCGmhd6DSBrKo3K5IqmtUjUs7OYYeAZONZ
hYGC6F7wcyl93kNs+9tkygtMjvpmTNbPWh/zdAfqbnegKpqO/RduDTeN8EhN0+zDdVJD0op0Cz8e
j1QW2uEkPmJzEQNePYxmGdLNHgIO5OUZ6RfOXlLfSX+7eybp9ebeO3gCtHiMzpVeYpen8Ktrj7Wt
lj7E+IHIXckSqWmCnXmhcb6VIwmDfU59Jpa/DutMMZTKbzu9xIKk+1OB1d99G9yOCBr8kWRunkfA
YeGjGPEQ7458sHs9kZX6W9z/iWnxcHO9ncLBeWhRPPn5wMu07XbewpjoLzyLXr9seGbb3TKAFvo8
bH3XV8XQze7bbnhOv+ucR6FLOISlk8GTIqr9PcEzNX2Ba30h/5rhvDL+WNQy5uivYIhIKj3kA7/V
3LuI+q1LBZvLJVkjrkK14/pAtQfLWJbQjdcOJg1zBEePJz/hKh+LKsWlPlyOdRk/8xXr+zSmQbGq
3w9grppPxVeagxdRkSiaoUIvWnAkIs58vckVp2wryZ7q5cl0SwfJcQb7zrORg5ofiTYhUSWDAuuv
YV78fqZZX2zP2ZRa+O9izio/F2IK3XlTSMp5WfKOfBMOKS+1KxpAAaJPPHuKk2n4ObVDyJ8xfyLT
RzVyd9xnw7TMODAL7A3Q4kFUEzcjTFTtY6OVNHsliqJ9iWC+JNXOer19dEdYIIiG7jUPFWwMm7Hi
MuvN8+iAMZWdbtVyIhG6WnWGRC07iYZMU23TJseb6DuVPRaruSa5MnctfgSolV1bSbHRvNbrkmZr
OR57/DoIBdek8tBQLX42ELeR19ax+cFOKyquqmuHpMoGuMLFCqf7VvLAiP+ar7A9uG1ZMLjv+Z6i
TCcQ8BpfRlIk/tLjJ6Qf1nnyvMopW+oxdut0M+7Y6t9pasN2zvmoMiSTWFieZUVPRE0U6MGlI9lx
lriMgi8tbQb3tII6JadKM83Vw+ia+CziNQD1sAe5d0KM6UkgwWbHNYqSo7ZHgWM/qC1pLyObqP+8
qibbPk52zSrMSJb8R1RN2KomdMUtyjWkZo5Q0cxA2ku7D91t5w2MNQroqnHZkuo4vDTljDAkVnub
5rct6oGvQXNy38JKSZdMDouruixnLTxbTV7OczGwOxHa+LuA+md4zLF19M0xuEM+LkluX9IAi1e0
QMQ/tMizP1A7ZYV92RID2q7fecUgI3/EPAdibYSXEriRQ4b8GK3Iv8whaU9jPrCx1Hr399uo5HMb
4KBfj1jGFd3XUOVd098WRSEfVtbGuzbb1Y/YbsMnSZSt+pR9UNTqL3SQkyzb1DjQTlY1jku5p70M
rmxR7cZzRFRdvGVb3r6ybDd3fohC1ljOrNLHeuznyQ70LoK+WHwJieCfWhXAWqhzP/HkttF8C6ps
sHIFZPKxS3/3von+C6WMxXLr9S5A5cy2EOv+6gdwUXE/YJsibBYNknWXxeXoY3oyD3XLtiy527IC
amzISkN6Z7uskU8u2Z0/b9D5p68HUzmrZCw2f78WhrY/ULnq5UR9nuS3pjd98TDsm0LYazttqgyZ
seKVrMqkzwtZiTnBpiFOsCRwrLvMySbV96RDlvBQ0djTvk7d0PlypT1KUelX3ldWoUYJZUMSQlQZ
aVz7X7ugZHnY9nk7fiKUKqAc6rygWN0Ke4uacoBgaDjBRafJb6xQ/fBhz9D7n+apIPrsOc6dGh1N
yy/LlX53WrjOyTNENQO9B3+WZHUmdyovGWRT+989yNj6eXVemLSKst26O7c4krIShiIC49FjyFX8
gNaY5+iCQdk87p1TDudCN/GQPRqNLflpRLMavo90lJdixoiMOB3498yRMfmhMWBFm7zPFImLAKG7
CqsDxVLZrBtOd2fXvd50a8VXBk2/fxUBZ/s35xaZDzXlS4L7qplosn1i4Rj2tkzynJPS+8bqSjZE
5U/uEHv8u4DcX/22PdRsJzEgtvBjVN0uYThAZ/uCjGc67qdpg7vrjeyTfH5h2GU4EVNiF4Hjqds5
wMJugqz5diBpF27J2I2provDogQoFWOshQ38jP4DFd+wVHEz11oEMS4+fBi8tW24kWM72lflknk7
z0Pi5cU5uVK8sUMGWy+52rcfo6TQIrFulO6HD+OynU2b6qSS45rd90vbsGrBINw/xGEoWrwS3kMM
6ICyV9ZsC4rShcFO5nU94JILgfTSPMxtvtyEZhcfF5JHj+qAHod5jkqp0iIbtIQorF0J8sXEMJ9j
EDRWLeJU18tBHBq0Tq68dD7MiSn96oP7wLPAu783RJuI0zGmaVezcL1Xy9YhY+K2QZn90MOaC6uO
ZJrcNQPyWe9NG+evUuAh1MT7IlNl2oPy8OrUMSSoUmOa3OwH1vUN6oCM33lcAcNfIZD+Bi1AJr/P
sDjnXUVlm/YfzUa7DpbQmWb9WmKRUVIJnKoR3VwC4dzBu6x/EkNIj8piw38ZM6pPqunZhK3WrHdz
CgTjEXgFoS9i2tl4FzYrfwKJ+YbSw+cMkSoMFPAZGTH5xylvmx/wsxj6utU4FPvBjo/ep6jMDhiM
hIvioqvMERE4AllHettzS9Tj4olTj7ZZ3f1qzDz8hYBo/ydZRufqfU3wGoudv45rcR3ujAJ3+16E
V4ZawtftsaBWB6/J76UKXJ8hVpasHExoURtgVLkh7E7swGtxEjrgO354ClCZIIFRXJEeCL/t64hi
rMwpGOgXQOnSPZBFLMkL4SDxgRTEp3a7bKxtvcJLWWPqoOhuhv60p0QM/DQI1n9oF2TDnzKoV5a/
9y0ftyrpgFz9gFcD0nAtFa44TV0ecyzNPv9ke/QjN3EaXJkPOEBNua0WKXZtvna/BNUufyVh7bYq
apeh2+GF2vZy2IRKvvd91vwU19LkVuxQmX+JzPzxo/IFyl25ZChmdTGutxKZIKKSzOo/M8WWLQUi
OyrEgqTFSclC/A/4N5IDDyGKE/wtmwKtDELVz3vOA/9m2kRCf9zLBshgIjWckZyBRUGNokSHO8rm
+ZdSO8lwzhXdML3CqU0OVW67QG4HX8TfaJ3b496qvPmjO3VIivzvuOUPugvF8iVpUkb/ZIjMoL/R
WnZARoaWPsjZjjg70i5WeZst4cXKhhvoOjBbKlrWpi99whjQbJQe6T0NMBQ9y82yvN79kZLTxja3
lUqv+yd4ImfFV2Pl9iFJCvdVNDz7Au6HP27mBiKg22RGY7wrvW8nVggY+h7DZr7imY/3UzaC1sYG
BHDD46SYL3Mn5VJRM+lQmqQZv0Gpu5cLhXjLmCKwe7ub5IWzsD8yeXTiPDewXjgpGvebBbESN5lR
6aVAJjPOvIm41062ND6bdoZ6eNvg91PSZW38p7DC4vUHDETQnLkYiu4boGHCS7ZFPIc8DAOOBUky
MqPi4NAfi9R/6XaGIpEASmhbVBkDTWAPy4+ktqDB0xMVLXCTgHh15JRwe/Q3uUnNK+zXh/FjLmaI
wHckMHzs8UNK0m+ZWSsc29GH0gIbI89m7HhREYOf82WemzCfh6UZuiovuAk/r1zXyzwpre93zg+F
7xgT93HMiqCeScsDCrbYk7MQJplvQaHk4QOg6OmEY2KazpbSwdV5t6kMdDkEw57mkOIQgT/GHd4F
4IjG0Nmg3Q4gLW8x+o8u6Yatmuiaqbsk2fRxA/ux43dCEZtUKkRD3rfHvGP7NAKPYwzpaZTFWi2L
D3dkzlBwdv10H01HP4K9vEAhAH9H4BwwaiAFb74lB+jkZwGFTPwCnGnfcBG5NPvthW1zjgyc8QA8
4NRqpsuECUX/ozsWpyu8KQjexdihMseJqTZddUtj4F8O8yL5CIs0wSsZmFkv+1ws4oYjAxzRqM3G
RF8mFLaH5yDJdRMmw9a2SFdc0DHh8Bnr4XAyXDxEGbLM590rbGPMu/6suDubi7E+besNjtopmJg6
L7LXuUCFVm9B2q7ixcag9fEsjq89g01NncJvvv+mAGgUpZ7WrvuS7gdOjzZJWHbHeKZppWWu8noG
GrZV87QB2iohgtrbeoC4MH0uzGLFBwSC9FsZ4QJtTmts6FzG/ChQwUiT+V+JRapCSSH1kB+QZbPx
my6awH8x/FHhq0OByh6oyxSvCsXH/EW1IYVpskFT0PVO648RAv7xnA8u1bGkENtvADC76WjRqHtA
DljUO4pCZLQ3C4K1pWseuzntj0tWpPv0KA1w2pIZEuCXbjr7J6Wk757yo5nAS2rScbpdxZbkL9BN
coY9ZckRMP+ZojkjvzHYM5huRleYqtD15xS0SxCQeHhxSRTglG+p0tc3xND41JmVZoAYFQ2YflqB
H44V9BXerSW8WLL8PmU5RXNJfTLd9uBZbD9DHqWrG8YafxNwXofaUmPGkyJELHWORBo/lovVsTuj
G1TyvilgvwbypbrGgyEtba6Hrpf7XeNTLiroRFpJazgxpNhQfaMxz8YodG7v2LaTAzWLN8UtQIIZ
0/oFtV0JHDYbSwhGj6FesAzUudjXbPnDezqqBL1DVniCvFuYmPxtRq2g5xoxIfO4TDXqxKJKlJU3
LDd53C9jJoh4hWe09g8Brf1u8If3xVCgBtnJ/Ex5r/avCf4amZRd5sm8nq9u1mhIN3FsxdN67aDv
m2QedxRf4MvCYCo2bfscdebQrNiVMGzwYgRmxSvMWii61dRpOf3qI7prcPsi1+kf67dkQTHAKRqm
2UPbuCGtZrZ3Ts6reKY4PFqUimI4fo8dphE/hiHM47loiykJeLqGTMhiZrb/UKDcx17OJS/o2aA0
Wv50pqBBlD6TcGsOvFjF5wz4XI/4F+D//qe0xTq+mmSdk5e5xcDnw3ZtVOFYEIXKK74t8DWGbM5Y
dek05l5YJIUhZ8vR+LATchTX5R4KwJaG6sAMaUan21ve8zqlzIv7YDBJekB1LdgDyqLCfZrUMNo7
3pIwX5IVwew/SJo2acWuNdt5nXWylornIXmYU7hTfUhWt/Y442BDX0lUxtMprlrYp955CF00Tfn2
+VCgNFYidRjy9ERNsJixbeJ/CeZM85kEh8N/Qr7BsB13yYH4bpSs8DVUl2BaElFPIeK6yvju19s4
T5LcWqDs4UaN7EhfgSpSetePmARWJtUgAJygJ06tqLE2D2BbV0QtOS82z9eKMD0kJfbcIzMuFpg1
UthjnNMM1Orl3CcZ5j1swognlgoRa6KMy25obTtOi1u/r/K4NcWepBMs3fKwSmB6LbLS5lVmwwPN
rHOv1MFV/Q9vi1U/oLDt+VnRbpWfQsBoplatGFqoE0FIe+mnSbH7plXT+CkIPJj7mIvR3aUrInUe
N/zWHInm8aAvw8p1e7cPVo5f0Oj1zValK6rlpR5moQFbF/Bo69NqxWY2SQXvDxZNjTkgF/I8gg54
tTDm3+FgmLqskhIGmPqkMQpy6wUFmMWD9Xww9gX39ATgGWQcjNJQu8n4ieCxQ1wlaTceXzA9afbz
hp18lsfBH9BEs+Q+TxqJwo6lcK/Lr2M8kd+kA2PmZhz4Qh8ONUN5neVx9t9Dv0qYVowrrEPOvjV7
7MosMMox48xBukoXJ7aKAdhwP/QGy/qXGbYLLj9frV4zYBo7Rbi7sIfchkrqEMY6antNlPOOPVHb
FNOlgJI33C6TWUndbtFMD7mDTw0g0hTz1jlavp57gPhZmbgsS86YUfq+VqKVaDvN4gwqJKJ78tfO
kSJ/3xztsH+EJUPhgb13jT1+k4mS9qcZ51RdUgKp4yUF6rs8wjXA+s8KltSobSZa7A9Zkbj4d1zo
YB5ibBMHgG/PRXVIlCMl8OUVs5XeOZD9Fl88rql2ofIRwaEXi58w1OuR52MFbjzDzLworvTaTZwl
mM1PakMy8Jc0jK17tP7IpjuO2Lvj+rZ5A62D9BHJ8I4Xw0/AfAmpByoS42DWin6mchNWuz6hsh5x
QeIgvbb5wZrwLBO7kSomSWaxWcRiIZcw9PoEpQFchUrCUvns+KYS2A30vP+9Xu/H33yFfQK05LS9
LLOMWZnivFOfiLW5x95rqV58aYSDqhoQE4KieJf2aU1ymoBeQ9qleco77sMZxyi8EDc19dsfP+xm
f5gPrulXu6+sQPOyDOtdjPzYvwquzfZ89XAkt06vTalhdrOUqEbbK1hu9g13LgaYLyJGye9cB6XB
EwYlGoJ31MYHoK1lBGpFEVxZUP8XhKuLKCEsysNpZ2YEameX7iNoEhkqog2hzB8HMBtxLyJjA96N
chONfOUmlWCaTynmWdvN1Nhl9mUPvV9RzgI8AlJh9m3XPwCSWoC3AGxS/xfQiqNPSuZRvg4lxSnr
gSGqGWqPEib16DvPO+ShCAea9oJ136Gwjqst14AQm+VGb572QxUW+IejDk3ZTrPakg5Ujvq/nPWw
502ouMGkivgqBSPIlYnwS1PBKJl8Ifjfyf0WutZcZHfFflu037u5nplF8zznzp6AFhwrSNZJk1z+
q1n3dI+uULcw6t73OmXDvJZH7OgzBlbTWrMG4u/3MZjeOguxWEx6npw6pfLbUHxm2/vI9W8Nhagi
G8Y1+FzSfxQALXr6TgnNWzuhGW6Nsuk5P+OaTAEiyS19dDit3X/Q8P6DYRVGBv/KvAIUlnsw0jCZ
SLD/lm7u/b0OyQwPRGcNAKd8GxALwOWSv+wO0C0arCFJqznZ8Z7+PYXqyir6v9hGb4hlLUY0e59Y
fp6RZqrqHqKWR5AHlwr1GsaPmMWJy7//pn8iU73hmdnFYamBU3yGIcDCP/k4N2ttWtS5dcDNBHdS
2D8oVKV7nP7DE/4HCudbd6IB/DDcJjk9M4FMDg/bmdMCrPk//EH/9Olv2GcGiX6Od5KCOaJ/jjZ7
DcI0/4Eu/k+f/YYeijJ90aZt6Dki9qPsbLz0qyLv/PA3DDOfZX6aV0bPwKBPGKT2ZZMBefz3r/mf
fvkbemizb72nsmfnNk0c7vStKbMOt//7Pv36rf+L25qPhoAdhOeSHxrevF4iZfKYP/37D/+HFfrf
1J1Jl9zGuab/io/2UAOBMfpcewEgp5pZM7nBKRaLmANAYMav7ydltW3Svlb77vpIWlBZxczEFPG9
o2n/+Jd72qrndim4XDJfim89mNIcmd4q6BUKRN2G7Yga+4jJyW3/R/V89s8xRVmQzj6ZLe6eOlT3
xel0f1NYwKv//gv99nD9F3f3zyFFfrHawEKps68DmYFAS7XOkCv887Fag/fssPPm/yjHUt4hb4vH
YssfLa4095j0+Zgxq6TZjnbGb8tkU90cDj5bsr9+uv/1vvzv9KO5++vn6P/yX/z5vWkZ9tNs+OmP
f3lsav79r/Pv/O1nfvyNvxw+mpu3+qP/+Yd++B3+3t/fN34b3n74w459+bB+Gj/0ev/Rj9Xw29/P
Jzz/5P/ri3/6+O1veVzbjz//8vatzlXM0KPz9+GX3186ffvzLxa4YSAckwvrb7Wy53f5/UfOX+PP
v0RZ9jYMeZ++6ey/+eWPt3748y+B86tjmo7pBgGxCBIQ4Jc/zR+/vWL+KlxXSs83HRSN7vkVRQVq
9udfhPOrZQrLpChWmq7vnbWrfTOeX7L8X30nkDLwCGH0fB9D/v89FD+crL+fvD+psb5rcjX0f/4F
OvuHpcOnSMX1HWFJEQhJnNTPKW1mUkwl/y17H9hA7BeLcP+5LwS7Tanwttrt1hc7XVrI9iaS0YvQ
JyN7i51FLEY4eIMTzdITV2oGaWjGBgvCCDl45fp+9VDms/HoWkl2Iv5muvNqlV1qCstSUEHC+Egj
kTvfJtC+V332bbIDKDC5VkEWD5mdHZPFq563FOgxSlCoX6aWQkWaCS+IrDlZP3lLg2VYbw+wN2u0
GUcwSiZEcfaujrgsLlEYqAje0BT7tRnHMkqWdBgiv1qN+YBYsLvJmxXKaKw28yFx8+rVxvP80IhG
xZ4piq9dsKbXa9XRlrUa8I5pI90vS+b4kGyjfpsFgllplSe3EDzMIDwAJAqrRAFXJYplv69u6dks
dsrg6CixXKYmngQL41OU21rsLbNKIzQybbw1nvUVUc5ShzzeE27WIC+vuswrv85AzktYppX8ljZG
+iS8ws7oApVsZtFaCStOxaTiwTXnnbTLM22XsyUvUnFRcAKisUTYQx3xdLk0+nnNFZOIL5a8jLce
iXJVKLOJtqVTu8zZSjtm6+pfj95cvOXKqT9I5jTlQTO1MXqoqSfEh9iYq00y+7VubzCp1Dh/IjkN
JBx7ig6HFK1MFQpYxOshmOXFIlX7OeuTfojgw1cz9JYcS7btwysjm8xe66p20pAnbHaEhDTAWmwF
8a5n1BKItzoFB6xphGgSLS8B66HhKzbJ38AVkI/YgITHkY50AFfyoqAWvHUnWqCR0LeDst1VXNZP
g2OLuzIvnKvEG/vHTGXNW2raWcGGX3Xycki5FM96jPa9q931cy+zxopdhim0hPSlfrFG9LThZqFL
O2Ba0Q+Wb8s7x7FQoKGUk1dF2fR3ddZ1HfAwyoVILoH+FLADfe4do9ZhUpvGB0JBguECy9KvSOrq
r17nEYS8MDOHjZDzI3Fddh2mQx0sCLiLbD3Ows+McDIydTmAQIJGivlAY1EX0lYyP0tGyXsXrdHJ
ttT5vi27I2ScMUVOi3Q/NHF8x13qksqVmKL8mnJznX81qVAG6arqjmbeF3oHiBycJjf37irDNepQ
ONVivqTdar56XHIrSECzHWSC+z0MxoZPjSTIDSE+zTTsIbstwLUgPW49AfgQtSgPxfZ5TpcddpmI
Zmb7vZlkkEdmWeivLpExkD6Ws3xepkLRuZgtwNP9/LjMY3uVBXZyRM4jLlRdzSp004GXgRh33br0
LxszdBan/eDsRDCjUVyG5sI3N4S+NpRZBMCr9kjZvT5cguS4rtmBz73tGuAY6lcWEbY2fU9jp1W4
CT95hlKvIzXYQGRImr3IsMZehGQktx0DWt3F2aag250tN62onpe62YmkdGo0IV3+USALeoJxzS7N
0irTXTfYogoNR8wAcdKy9p2wNeKgrhs/13aRaW6RwbDCMkevhk7I7e7aNa/XPQKhBmHg1i6xZaD8
GXy2Y+E4euNN15UrzVcKCfZQ9/1rb/oJTjv1jfaIYoyV5jk9VeBXmaTlbxeMhovsWHZP5iCKaxAg
5laZLdOLk6T6yk6y7LM1+UUF4lZvuxHSuOeCTdD21aCsOXTK5r+jc6qOaT28m13utFGgpuaCpcSl
k6Goum+OAf8TGsCcGwdvnq+B6NIBZXa6unFvFcQ2Gv0IMewAdQYh39Pzj6OssgBAILXsuESq+4Hq
tBmiefFDhD6sMs5UH3Wtu4vEy9VtzZEyw7x1t5w8BFy7B9FTB3iE1xJ7JwdBO9YbYGVUpPYZ1Ko8
YHg6BiqmYWk6PdpRDW87r8GFOTQUPTBwjmGwLTycZKUelMHt1m95vsTV3HWfc79n3m9lEHwaWi2e
MV4k3HTo7a7MrBFPknzxV78pgougqFKIDH8wvDAAGL1th0DdUrzhP5FAXnK4cc91kd9Plb1fW6us
4z6frjHteVvkLE76LMlbrOOl8a3vJvKx4JJPmNmxN7mVCLNgDT4PVO80LFCiv+a+detj4giXB8Ps
eo88m/TVVEto76QRezuwSDZICBOMFkNvW1gZuZFFaPitvdE1+RVou/+yFmcGplnq27KQZlQJcBeJ
uPpOBA5hCJtl3RU8kSILW8TzmJrgm9JuY2sdP7embz8O7eTcleSwxGNZ2Ec4UvOxMxvjQxTNklDn
IBgM7cY+FWbhG1GWO8ljbab+nd/kjw2Cr7ukWYHCVhIuwO6K8s4oBBoyp22o0KABC+UtSGaGk1ep
NRw4bFm0+oVTh0kVLOcrobLbtzxQyZ5JOj1PcMyfDBLzEZGEfxpStg5TNW/vFQqI2IAK0RE0XnaL
D6a/Ap3yd+3s5V/yQX9mTtsOyyiXQ0I+ASrSOn9L6PODFpvL+8Cf1cGgKhd9Z6b2nTEHXhTQ/om+
uQPOHjNbRaLvhb7GSFDTkDhtVRhYYgl2ZlVaFUou0zlVFJKB7tmBcxqzfHjstrk5KoMqVVma+E77
FWuonxYoGRrEiiaT9sHhARQ1qEkfXZaWT3Sv2ufQcMT04Zkb2BH6379hVJ2vA4yCxY4nQnaamiS7
gSQVDyZCxTtrlMUUDqnrX5np5D3YbrZ2UeWU1mHubXq5gyW4WTcIn0vVJzCL0syqa6/wq7d2lcnn
cS3Le3RT8rvuKkhqroGyiUi2cG0ozxL+2Fq10UZuOqoKWbSDmte1OcUhs1gCJzDkBPA7zfoiNsCd
tlzbuxLR6RA6vU/imd1b9ps3sWmOhyLNnj2nzzQMadAYN4urs0snLahPcQHfD3bm10Q/4gGYT2gG
+uY4rIX3MhnckarOp3s/pVJlABW8nUUmumhw+yEJkZiYR0/56cGrq+FzupbNJw3oK2ORjvkFrFJ3
idiIe3VL6+LKX+31SnsdQkbDNsZPbGDnLkSKn73CaCEzreYJNYpTZvajWSzdiy2K9k72Bdi8p7eb
AF3gFLJsOUvsdpozqnW+1eFa+98aB6YxHNCJ3BhToi5kq8wDqPkyRXoejJ3f+977tgUDPLl21rcB
xeQa9bWipX1tp6/IzQpgZruHViszeSzGbf40lQOi09++Zef48C1ON32Wk/9IkbYIQVPdF25Oep26
XLV3AfpKxP0oFMvqHpFlHi9V2l/JOnO4ZxOHC9CZjIOqkRhFxtoOALaCE080u3xpLc0KkoCC0k7j
iDoPfRHYzwUw+ZUkAfheNo13P9Vee83wUl316Vq9GkHiQuDUffBerlt22ErD1chxfWjxwJsg7mhW
+RLkq7leNIs9rcdSWtS6ZXghkA6n6XocMCu8JxUth4kyPZYrY2ZzmbZ+24RCB/JGdel2tFi5Pgyr
9z7IP9bEmBTlVoTjZgY69vCP4WWbbCLARCPzp0lCXxhNVbxuhrHdm7JObDiURrK2ZdOzVcrsHitf
daOmcbvbcnv4sH9bfDXS2ZAD37CHSJP7NVv7r0sT9NcICtpHFLiXVpemHlLiyXsDEuyW3ewEmb07
Z/7JSHjUJk0bqkP013NsztTNQYSvJLn0FVRkaCqnLI/jWGwnBOBIDnrMgojSR+G+4gXplnDsBoSP
VIDQa2ia7btjdMNxbnR+3Yy6oS107l40EpVvfefKI0SWhczfXDf4ySU9yQlB496alyaPakXGjiGd
jTh/1ZlHQdXSZakpowndNRu+YLOnRp6+4/Eqz9Byk6wbDAFiq764YiTIj56ekX+SxV1icynkznIz
9qHrNPGdRpxnsd3WWxedy8soC/CRgiuv6S/quki8cFrYy8UwPs0dGfLbEdjivLuxx+Lgogc9Bq6C
ypjh/+5TrswjHkf1NWi2+st5yh54B7uu4tGxjQdi78e7urL0C8GzKzy1DYfSseDTapRsUWv1Lq9M
JlsMtI2Xvbm2V41MkXHndtYkUVOhS6ubSmdHMeTprWhqvkJZtr7D/VAUn0ZZf9cD2VvcLvVh1lVx
Z+BQScMVY0ykN9e9TDOUwiFzpflYuIm8X0Sx7RwSEZyoWqk8uiw6RO5hg8byosdMJWJvcxzsML2H
EGjozGhyVW4wmmbFeVEmlumoh55TwzberOV6OcEEXQysSG956S1epPKkT8IFxWcfKsuvHHIkMbme
udllv81DAaWH3nYKdUH4emiW3g6PaHbZC7tA9oieBqsteO6yoA9iG1m3O3/MdIDRosxPpKb2H0ta
Nte07/AkMQgV/9RZvvlUu+eZAuFtFRcBq3hkBpa+dUjkvKq9ITkKc1LHCYU+0pk16/YpuTPPsKHC
PNSFB4XdTcmXQQek2G/eVl0r6XTiBCO1pS/+uMBXQZ/0v6e1/g4X/YB8/A2C+h/AVNf5O/bG5vvw
M071A7T1/xGYZXvWGU/874GsF7CoP4UfKn2r/hHH+v33/ophSfNXE4kcKJbvg4055/yT3zEs99cz
bgSIJC3SuCCU/o5h+b8K/LoAWIwoApyKl37HsIT1q+uYlgh8ZCu/4U//CYb1I/kBgiUDYqc9SWaV
RTjiz7GGPjNIVwVeQPflWO47s5CMEF7O5F6i41DrHxAGvzFHf4djf3s/Ah6E4/scEckX+RFoLsSS
kCMt/YNV9im1WmXxgd0RHYil2t1CPn5cJ1vfhSM/1UPITYEMi8wdnzedVNE8CfuppHV8iv/htP1+
gf8jlGf9E5InA0cEZgDWKITECPvj55J9jxgH/zzMU/VlUHwOC/MArcAujzXnQsqtOTSVrfcJOp04
W69dPf5nCad/PTa25QrTFISmCfenz1CelatLMQaHNl+6Q4Kv5CKw8ubx33/Vf3HGHb6qG4Cv+KCW
P1EgSFqnItuK4GA37tEt55fA8fPjnFct9rt+/oMDy3Xa/nS+XaqWbM64KxwupB+P69l5Zy7YdqjJ
9L39EiwVO4BW/MG7nJmVn95Fckeg6vJMrmHx01UFloAc1k38g5vBVTDqA+xXI9up/P0/PnjScoCU
Jd8n8H6uGXbBI/56+Sb47sLaKL7POat0aas7uyj/gBn5F2dKWp5tu5IELxPG/Mdjh029afze8Q9s
QVnWcCaGGQLqGHNqFS2Fd/z33+23WJefj6JAh2Y7PBF4Tv10rnJUQ5v2U/+AN4LUgamRV7OfmPcV
8e6npqahvcVls89w3B63BrW/ZdbJV7yZZJeppUNVENDTreopJpgZNYrp0iXg2UEVu3gG7gaBHSsO
MiW701ioHFCrpjJOtxvrbDN3c0SPoxWPboEtDr3NJ13X+g/iOP7VfS5x0QopTJ7F/3Q9zhDPM74Z
/5CiOT8hBg5O6+SaSM/cJ8zL+7ZIWHt1+t2H9Nk5ohSPc+oEf3Co/9X1iiwOBzeLvmv/HFynCyQB
blLJQ1WNzgl98Q2bc6SSZub9AVv4z+8kz6m3NsNE4HKsfzqnWZv1sywwc/gJsYfLGJAf0NRf+swU
u39/+XBl/vMFK01hQr6QCWf7f339HyjKrrZswxe9f3Bwvu/KyciPmif+nTC95d4zuBBENzym5VLv
ihFRUDwEJrCqp9qZ4X2Zj7LHbLb6Ppv5fnS9hzGf3Dd36oLj7GGkjgj9WB8kuOXVMEzNZckQdlC0
Ntdha43Fsq8ClPQdIk12ff54AmoPjm3meHup1QoW0Xex1p3Y2S4+Y37QBMR108ZNDvPA1Is3I7ke
8QTfKtcibAoo1tul0yLiyQ/y28Ssi7e1K+oTke8zGAXyuVW6BhvTzj+V3eC/5vbm3M6CL771DvBd
YlZEh2icdxAB11axxrIcbIwkbX3KiIljQqWsslnG9tERun0VbP3fKFKgkifrFCjWisSFEl1i39QE
wClVdczNoXgwzLa7Dcw6wB3ntzNo/7JpSqvs7hWRUHKtEXaho0fOPtVd8O7N/dKEiWl/Lo3iRSHv
IAjBaLxL3EW3ttT2jV9nMS2IRxus/agmy255AqTi3rICIi3szANec+z+dsOTAb7eeYe+0yW2pAFg
ExUn+FKXxwBJY3UxNbi8Q55S65UcUeKG5BvWYzyKZPQjFEkkEQMSfLBl4pjMtrrK0C6TmDlaNx2+
cg6ZLUY0VxgTrF5Nz/Q1Ei1cu23vkURryme2beuAo1oOTwHkx2kczQntUGdE2nOdq27yasBqM+nD
PD0rE7qNpR8SyKrJN6iwksXlFORHkUq9VwHnW/QTh28yevct8co5hi7aeAhNVr7Ds+d+hgBeL2HG
nc92hkQpDMwyu53SDpkwbUe8TzCaBEfw8Fh4cjqr9sKynuXz3LtD9YwNT+GTMot3dHN8Bz8BliL6
qugfKoeNUIzto91lbHEQ9euoshz/+4ZUtAjJUlFkJQyAVIdAtAWi33Jcr0RZdxfA9V4T5xi7uYVS
MyQfxzuIjQ0OxI2AGrFdustICTZi6ejupCX4hZ3if5kSEyvGhgsGkXMqyaAwNg2xUBNPrhJyO5b0
CBTFHLcoQIEwm7XdgKgOHoOv8DIZGka+XcHf7cfJot9JuvoyHVT9YKt5iMp83WPHzh6FKRfqF9th
3/PZjuh7UKN3g2Q+NWvO71JjoVy4Ps6RPUQAVCPm8iZl6KaY4tJeu4+Grt9dPpIurWGGvshEehYb
VLs7IebTIXXAIirFBEBhbS60DthJTLQ1R98MyutgxAedIck8ZYqWq8Jxocn6vH6jYqi4KZQ1HwNb
J9+w+rhJSBYFkFBhtnHFKab+1jaPRU7g/7xO2QHhEUAQ5MP75NbDJyH79SjRwB40EP2uw5CzxyBk
hLWQ+2Vig4hjAK0lppTd4lPwoUcETVN7QThkcNkjo4PN22YGhT4NoqRIntJ1ci47baW3RrmKS43m
DZzWs5+A/4Zdlaa2G2rAGXbl+jwous0xqwe8Vm7OrRAYKaJhrGVey+a4Fm52mbbTaxDo/iJozJLE
WxCCeRzHI0UJ6nqo3AAfL2VrcUNMEHo5DZkBzFDAqBZNvCCbCG13u+ntLgMP8rcH0fn9NYRs/nXJ
eeKaxllcnFj5AW5luSOIej4VSGdxR8FojeUmn7zO2XZocI1YoW68TmXxOmJCOzR9vUT0pvdR6t0l
VX1vmmV1IoXSO82jXYZJibd2m6YDcQPGnr6v+UPNmOrCEp39xr1mWK+L7Oxrp+qvCdrq46At0mih
QRPbzWpdVYMNI+oFWbXXWCdit2rmfePgme6tgYHC8qAitZ7ukx6l/F47wAA4JsgEUMb3BdoLm6n7
yCZpg+TKutBtuJU9yzxY8Je7eW7wsqvhU5tDBRXg7D50U7TxBD8kiXoDziPKh29ua1I0UqKNOgfc
s/f7OMsJ1F8ECKk9zjb5I2Nyr+h12vlJul4WgXNNfI6KZWAQXW17y36ex+5LIvHq+KvVRN663cHQ
kPs3K2+GCZ69V4XDFC1Tuu79jvQ7hOlEvkRnuT7bKvz/T+zLlk9C5fax8uzkoPO5iiweNjd5jb3O
6gz5kPF9P2uJhzEuMf5xNLzaW3icd8UCKYSNJ/a7JjF3OFpKLGENRwRNzebfVS4BtqxWm36ZMt1/
xdWMvL7zpR5PabEuxH4qsOeh376vIldUzWESn/3xrUZGfeKv24BDln5fONqJLGK24n6t7nn2x0hw
rRtuwu7sUk8iYcvyszDt7gIzZRpaIxyNtc4Y+as02+d5uWI1wdNdzvpSb8lyC6rzPAkEuak0nuxq
JjqZRf7OM/BF9ltCYglMnwKf9Wau3PJsPPCd7kF45gMpQN2xQXEYSpxzx6Evi4uzXPRYd+N4GrF3
nVO5VHfwXC6KqRPikDaVR4acZewS3ROe0YrqirwKcTe2VR4rM1Ofm4Dovc5xd4mxFpdK87RYcF18
Z0HKd4Waq+OGheMpRe9CZM3izh+62lw0t6aq40KjHdjg5NgzuuveMILmGFRNfUJt/b0RorlY5sR6
IO6o22NMu8s1QDBiezdqpL2MoWUZ0zMu0fS7u5V6R4rCeotAwzxhBEn2hpL6fnOrdE/w6Dctu/HG
Uka6r3KpLuhqh8Uvi7E8AgQuB9jINRqTrtgNtfmpwysBPYP8ZQtQwmyJCxKeOqm6AMszo2AR5t6y
kYWfUb19g3Li0llzWYXkZedztMCERFhqm3exiOoyUaIc9mrgiEivoBhLEQiDvz4I28y7LJ3xddVL
c700y81SNf03t27HK0wpLbHnFQKKQNxQpdfvZNL3b3bvuYfa7KYTkoRD2RjPKoGVAdhuYZmJib/A
pV7sshbbVjp69dPSL8ONJATtYLIIHpc2vVBIC54c4jZInwF4hM3Q3zo1b6zcZ1WYyAGDIdKIKhdn
jrrxqGukRvDT2b4XkUEFuVkLg2w3s2pigIzpbsn0C47+IWyM8SoTUxXV67xrUArGZO+jt8C4rpsF
09uEYmCSwwSkCda/tf612AiAEjQaf2Jj70KEF0lMFCjhKcomFa9e8JoWRr5vfYUl2HxXXn4cZ2s4
VeOqsaL34mg3PqFk1sQqbC+4QHJ3O1QGMh7p7/vG9YnmXVfC0FojuJDNUsSCjPqjXT0S0lIjNCit
mBEqhjegFr1cyh0+g3TnZUVyyCaZH2zen/AZ930gyfnVB9YMW5O7eV693VZsx6HtnvCRw2FP68Vg
jM9BIUgFnjbE5/qzHAzW6Mx4D/LmWdjltcq9h3Rihcohp6rF/0jLD5Qt04HeFiD/PMX8PxIh0LUX
LVRd7lrXhtjGiNS1/qrSBrEh0rpyaNg4JLMdvDeYIPYpaU6sUpEK2ulAFFj9stnfgOKqfSA6wnhm
GMeqayu83qvBCezzx5HaEp5i6klvwbPXFfzXvZVt8oUAgqvMqj7DLA+Xfe3oaKx0sVd19kSkyxFm
83EOis9KdKd2cKrI7dUNrfJ8dkF3g9dO825EqBgOBTFRwhjp6HXBL4iuOymI0v3sVfcFd9WpKrKv
wA4nD7eXEXQugQVWOHTTFHdFlhw9S1A0gHP2dm39/mOoKglo5p7KxKgvZO4S85bM2wFu8Wtp+wzm
jPuPQ+dkPI3P9CVGXO8dBrvd170TpUnt7rU0q4u1rMxIkExy3kp53c6xIVyzKhhjjA8FUhypQ6nU
tXD0ggljYa/SJpLhfnYOBvj3oZ8RS42uwR6GL0zaDuW6AmsDCTMK5Rbnm7m1ga3wH0gtvHXsOY88
ob9gXd33A/t85bH7rEsxhm7CMx9xcES9w3222de4Ll5IE7qpPeRcauG8pwaxb5Cw+pRlW8uir5Bw
OEuEBSQUS9G+FtbUxBb2oDBvvvqG8+JVkBubZs1e256TpnGoCXu8W7GoPi+Aocin3Oqo59Q6Opto
dm2SrSG+GiRe0zgcMicjvANA5MLHpxWuREvgF5zZ2/r6C52Q08HxPL6pWcxhXUy3rtURi1DbzW5D
ZvGdmDb7Nm8WdneeXe1J82r2hlyGeC3Na8XMsi+Yfy5mlbA5Orswhb7TAwOG2wbda4Yt4kBD4XgA
YnnoxrTZJ6gm3Cm9Cdge3vadMZJztYFlyASzkBR4uYuFuTm3dHezCVOFOl/KvekxHAdKv9jEUe/G
wDb3ItcmPXCDjIjYWR6FoRhdVMteUs/mPm385n3hS1342q9ib+GUCmtsjyIzxgPrrXnTdpl5SptS
XdTdUa1bsfNUI67NlYjPtB8L5PaB84yN33sOFvcjWSwRC6GmQ1bZ5ks1VcNRWYXx0LaT/oobMr2D
+vCu8Uu3UWHbxqEdsumw1EsWzbhbb1x8aDsa+VSMmMgPUd1AOs/s5snwsXr/yWzKyEBiY+OQy7kM
ezC+iGix2gzHDN9xj92OsJnq89qxVUxBvN4pZlS7vLPWKNNsheCa8oMsoPCXtWCvRNjlkUBLl/wZ
z7toNVlC47bGDEzeruL23WNQGylDL+zdXLhYWOt0uctNWF0iDdsLn1KhWPXepwwgCtsoZ3wjGfko
JtfC5uyLMizm8YB/Jb92Fq2RhVQ7JedlL7nRmaVqqlOKfNoVuWZf6dr1NcGWbHBVRdJFac3xROzl
qd0m1FqL8A7Q+O4l77Mi8SwhlCkhOSblHFwkgUzAXJoutnN28wxgDzNk15dSFVbkLcO3RdrzK+qs
LwoX+3W3ZMlLlW/fGMf1vZw7+MBUkwyUY6DcW6WeLg2zfxLCfeFt+wul5YkISWfXZ2yHe2ddI50A
uYmlJ0TP7DS2Y9MAG0KIZe/q0QQLqg0L1DH3SEhSXD4k1O9dGMd0z9DnvIyptmIuwfZlKlimkxKL
UqBGck4z0rIi5A3qE1gFcarGLCMts/atQHiAjz8370TX2buMjp41xLSk70ohv3ZVfU7jG71zWBmJ
l0hqojnZCO2SPhqndvRJelL6SjV0z3lyKU/TooBEu8TbdUZTHwwkhhERzsTU+FZ+Ab29MZjphkhT
q5kp3ty+zL1jHtMtXV+zRpPLURQahMP76i+kCWWuXCM8x+kON2V7W9no/rA/5VckiBRRIO3ixOX3
iU7K1iInIe2OlItlV+mEAXVrmvxSTFOObq4EUb2slrHyQ2e0p09rYTrfpmLuBG7Ucj1MM7rOyPY2
/9XC3lPunNlf3J1GXfO94SLz8dqs2PuydFgft1r6flSZhk52gbEMRHWWunrF4TjujHVm0tuG7dEU
qXNoMbg96bV0YliTh4JizaOWunyvky7bk6u3xAH64J2pPOqI+9Z9Skp1WQ7TTVBb+qLCRUxBCGsH
92q1Ea1SE7HjowsPHX9Dc0aAToair2qeeSP9VFeqeSXDy761mvqGWK9yX6gWC2cmrX1lzWTFFhSL
f26b1r4Y3FrsMN43a4wxNjlabjI9zTjZHspk6h7z0nau4YnN3Ww4JjoCAzLdKEDZ+6qtyOqVpKgO
fj7G3ZZs5FKuFs/EGhF6iA4iqJHK1RP6ytmgcKPpnNDJjHPQ6pjsO5yzGBi7c+FZyWIQ+ljyzoK4
vtobydy+oZcU7vmclI8+z58b3Mbo+MklQrHFMHkYOdTBFet3Vu5zoe8Tt+fpVd6TKFIfkNYskQt+
ieLOTK+x4d85qeXGIDlThLHSC7fJuAFw98kRnKN+SnjwwiPsDfhweGycVmRuxm1OwCZWxEgaGDqN
pSQPapJdee2mBWrArn9GcFRkcUYIBANC6715jFJHzIIiImBh2M0S5hl/xHjPSJlw/9fFoc4or1y6
lk81ZK/zyuonXEIXEXNDZm/zt62no1Mt0OvNNj9Ddx+7eZgPILUWWbWJedcLcgjoWTapzzJKov99
56gG9X/YO7PltpE0bd9K3wA6Eon9cAhwEUWtlmzZJwjLtrBviR1XPw9Y/f9h0x4r5nwOuqKqukyC
QCLzW97veXN/jrPmaLjJI9rjHmuZ4RiaYqL/74KhgqdbbKnq9DcOSnwEJg6OcEVaFADh4EDv4aUN
FqXQurs2HdWvxn8a7CEl3O+ovIFizrL+RPmjfijdtnuMsKd/cT0Ir9x58mJKdzt9UM4dsdzo2w0M
ftiMZ2bEjy6O1MFb9OnOWqIlROqdh6/UYInwqZfX16URoaoCPZGIzdAynrDrs1ID8hs1dQogw+u6
t8wU+rQVergIuEgTbcfCQmy9aY3ae+Ys7a1NDC8NnuTckwZniLqXq86b0fMolIL7yAX1u1ROcdNZ
Wfqc2UO4ZQqpQVFkj0Eo1o5LmGhf5rr2pzzBnyyGUtr2Y/tojbW5L2pd3FEWcfjolpnCCGStzzzC
RBGdWNbzmwnWFNQTtulYChjG4eSXqgysGjphmOegWJH5MA+7JQMK/VrVb/2instu8p5LsN4cu9Gc
OhuArlCG9OWlKCcUyZjfml0md/GA6rDN4APWHajlOUmOUUVNiIbOVZQn2kem7pPAS6hdUnbP/CRe
kmMdTkGBDmvXVWRdqLWRwAiPZHYwNQovsTKuiGCHEvpYYS87Abc83lSMDbeUdkbGHJQLUdRsxz7a
uFrcL4j5hHZbtcZcMaJYUMehohF/MBzDuibog+OMGmPbJXH9gSkjDLlRpa6K/qKlS03Bww7xLZfd
PZPpJjpxx7CfRFQ3B5VFJJGKbKUKEOaoowaVHkShmKdd5qJNaiLKmmJ07Bd+17LD05YJ96a3qo/G
MnTGmrHk96GIYL7oS2N8nyVTrT7DsVB/PSagfSqL9bM7r5tlNqwl5MwIjTfTziCZjvif78Hr5Rxv
1Es+WVPmvHRz7JzoSFU3ORKBRxqfzpUtDeNZWFFUB7YFT4ao2gTA1+Wt93mY3YpARivKK5RRnWBt
i4Rymk3RrrcK3q10qPAW0HRT/2FCj3vueYU/hiKt3zKnROLZeW1xh2hK0mKAtLEgETSz741miasQ
odVB0Bn5gIYnjIIs1lrOncr+Mjumc2fVaf6aO0tIxRT0RQ8o5gWe66qE66Pia4r92rEuTP65HD3K
ELlGwuRPhYKpXVfWB6+CZeVXhal/betIHkAFDMiX3di+zwS8Wt9t2uge+gO13VjbrcTCj6L1ureq
lNVHmkjhpyIqqs8a7/5Wa7nzKbczu7KJJA9zmSyfwpmBjDKSvJpzEnafpdLsr1SBzS85Q6D+UC9I
CAzUT2ZLCL8YyGlLlsix1kyTI6VCi+rM05uETICIcuoZwjbNTdu6iOXnpjQ+alYRXwENnW/UOHqf
U51peoGicyNmNznalJmRh2ldvasrFX5dKLLwAlR589ktu/C4EGsTVC+52mcEgJuuLdp4Fw3WE4dX
+WNA6XtvI7vd02xgNsWyVLQlzEt9HeJeQrmngnvAhszfhcGgR/l+iLL0Fh1HB/GYrsTWqGogrY4L
nGWKqHcxF0RQUjJD+GFuwftuMkaUuDkWRUhTtoAouzG/MhGYX01h3B1BeNffAbvSGKz0zkABhzxr
2cB7yZ+A/AgRIFOtbtgwXJAQDO3eA+hW1Z40eZL+IBuy6ApbvmJbJnlGnG078pueqvGBgvV4z1h6
8wGUa/XDanr0U6LMjksf2m+eabk3YVfXp8h0NM2X+mC8WX1X/chkNpobbaj6zyXSk5dUqdaBg+oo
O0CIhfAZFJUZMlxg2HCzbI8hK8N8aq0G3xQXPGGyMcNWPGqqMz9GTlF8LyP1UfeoipYtEQmzQYgt
nRwgJhX3Jrtf+nH+WjBB4/iK2mlPPAWT1qH0vqB2o6xneUNbgLCfuMk9inIoNXa9iGMaN2aBkk1H
pK6mMLllkNmqAouuK3sE7PidwYDiNYgX5QQZ9YrduDQsnaIcmCaRLoeNbDMa0bWriZuhMcFYsyTk
regdCnZO16EKxE30a6/qMAsi1b6YUDHToHAa9NOFqh5jHhSIaKBuz6AWFWMv2EV8JzQyh43HjMa3
NAIU5Oc5TuqHFSNKIAXNAqL8OKbtPmSsjw1CtWj0HK+0v/SVZ8ebmpD/OgqN8Rm8ACebZ4/7aNGo
2mul7h0jZ35VCiIOneNx2pBa854QI/ELaCbozElVDUcudeyJPo7zOULV/x2oYkjJsrN8uE1IRXT9
BP6McV3lmsreG6bNjAxjpEy7JJai4WHwfzzp3TD0m3pmbHTL0EJBp0N3qm5rxgmlM4Y2voVQBa4c
M7Gkn0ed0ANHiGRb5GHzTc3OzKlr6hz/tG7ma+i6uS/Gzn5ZGroONDFI3goVFtkBP2jje5p34npW
ZkmCu8z6fh6Kcm9kg83cGaxCO6cJxJIsr8aop1Hm0Ey7t6H3wuE3e04Thsa+LcyCE+JJTX1KnbgI
RlhVG2Tob8age9eWZnrHFLXV/bgYiEz52e1xVq26mWfI4fRqyfFn+D82wnSNbt+e3KaKA7Lm+g28
pRFvvDxN7mPXusvp++5l1ABxLwojQduvTYe00PG4p28f78rW/GpVYn7U7NT8ptmUdqCKnmapV997
y0ifDSfOxQF9v0fx12xePE7zkxZV+m1eV9pjpMn3hBir/OFXyQtDLKigOLglZuTmKp/4SbEAhtOp
YS+7a05P85SMGU4dww45/qec24SqdyBe02cxDBylfxdMnD3+fvtyF+0mCj+J8OZC37NIDbIZU277
2Y66O8+u1QGDN7oIgra9MU7CD8nJVs5vOnwfF44U1ffYnAyZzpho+y2rAUu7bkGxs2bkKC9pMIE1
MnYjYTz9ZqnflxggUJYpbMimnKjLQdlmdRzNdLnp2uS2lQOtCovaoIFSK/dxr4R0PBIBc9bnGoXt
TO5xPoRzhDoIKAZ7GXphhiRH62nqSQ4svE/vm8T+lpbMSWrO0B0ajQ0/rUqngkmG0g92qPHOrZPr
PPrFrfOo2QJNMCTVwUvr8YKlxO0zidbRUJI3iHuGBubK79P5qtSRLOEIcpgNJpToEfXzddL2887L
t0QBq8ZglEGYRB6DI/HAaG5f2Fto4MOVqGA3VZN2PYmefDfPCICNND0AwX/Pc+hiMH1V+3meRUPL
dPkr+pxVOffT0ks4S+rBgxAmVJ2S4nhMv8AgneLrRese9Wmwg4HD2Z/nNj7qQvQ/6Hj1V0qsaj0K
bpZeZrxiI+OEJbqNd9bmH+6vZdou69LBF+RSJBhRw7N1u/D2mU6hilZk5J1EWKp3vuZsg3T5HD0T
xSOvAFu7fiFGrGkY45wKspv254yvjQTRPI6qD6Ypt18lCTx7ZMZEoh6WAWBf+zEhCAWFMzbZNZod
7y6f3QzZDC9LbZXFXWf0Yt5k4cLcRyKe6i5rP/791pyxKj9fM/u10C28odiDXGo/FzJN4PELBQnW
3tBKNoVFlpbvMM8CDDOr4QvG5kcvu6tEUn2GTatjJiGFHw95fJzN2Q4QM8zfrdSb/nHg+z+R9jvE
AabydX21Cf2fZdr/VX7/Wnwt//W1/P6v2+Rb9fpV/Qt3EP6x/Vm2/f8/6T/CbePfHqJLFCWGoGLH
bvP/hNue/DeSNcN2VqGkYzkuauL/wAd049/8G4kQFZK5wxbLidL+Ax+w/w1VbRVcO6vGl/9C/98I
t1eKwc9boGsLtINcmc6VAUi49AAnugLcnUxqH48FIFareC1rN9saDlERUC9aH0v+hmIHYYKXvVZ6
S1Wl0kgm2fLnpMJKyi3hK06jBXY++TjgOfSO9vCC7uOsl4i6XHjEhNwRVO6/bnHGEFqUqpg9cotw
2pBWyS2yNljRsXcaaJ+ZxnRrtzSSIgnFi6baO8fE/3ABJgp3bpWDrPvXC+A8r90RrCzbCxdgLEyL
Yb1jwHENt3FTS7rYIWNuXnfs46ZHF8J1/LTQ7v/ZFn4Wll/oL8+3wKZZoqPgtfGOuLBWbU1qdnmR
g9/soxnfKuepj63bpCnf899cP+inXek/X2TzNcQzHnNlv/5Ue4EPgLFEsy+rgfG+COsWp6tfqqbA
TXAGND3b1JOJMo3NQOLo0/Mjtprkg1Xq5QkYrLY1cEb5ChJ03Cqa9o8YTQ/++l7soYqrq76s5r2C
n7zVYAYy4YOThWXDyVP90OFKGy27sJf3jYY1TRxyI+fG/kwAeoX1j0um1oTHqERSr5Gv7VtriW/m
8HkZTVZrsTxVumvtMJ6ird9mbzrmPFsGf1/LM2QQqcriej+GuHg0FufT35/QRQjIjeOVAN4sdNsk
l3YvQkBnKcFIJE29Z97J3YJg+oyzFLBd1fmhlAhp4shjNH/wdn//XnkxcsAXm5ZhwyzkCDlvI78+
saL2nLqlsLh32zjfUrZLrxx36Q5Soo+PDBjfibMAl1XSui5mXuiypUzruCUPlFyXwl20693WozrH
OwVjKwuY7XQ3VTPOe3xpOnoGksN7xklm+861r2fcr6sNEby7hgYCwRYx1q/XLnrPhLkc53tk+dAH
4NAyxMU5bQz0UMA0bzOng3WMJ/ptPcFFMLCgyqJjT5cOjoN99c8GZE47muc2acsG5xJwfBo/2pn5
NYjKEx8s67e/X/fvz9qkdCVti4Cb4ROPU+PnmKuTCUDDgcseNWVsSNr5YpQB/9xoZddUN3vanZR3
5Hvv5x9umDTlOp+AJAh7rF+/uZdFSGNOIWgZWhgKlMRIh7v2nTmINWa8fCwGPBp3Ha6BNHKRUZQY
nhhak+eAhJ1y76gmO6owfn3nJp6HdC6/xvSIDQnaMAK4dJ+tCkXjMh1yGpP5W+iEimFTAEuUdA0I
8CYvuaeNnC0DfjilvmTHwsrf9MhcHqh0bC2Iypw7s+fr6Kj9AnQf2leg9znotx0qTJoKEAt9o3Sf
NFsDyW87t3Ka1VUy9i76tD7dDHru7TTAxdskR8lOlWUvJvY3ZNvAYRoP34qE/6yNLf0kKCQwdJIL
Xg/+PGhpOKgLdWGKbO6mmSbtQDGx2tQywe6qRwoTY2izk7L9OHUuGPp6RN3cYXG3JK9WajwU9RIe
w5pRKdNI35Tsq0PbI4oVXnnQJrAAvS28XV4lbyoKyS4oI28aw2GkcPBYcDrru4xailV1/kp5fp2I
jp6bpV6w8vGeYhaHr3UZ1208lIlHQMzUx9aQHe063vZx3b0JlttP9WS1G1MDDTtNJTpYky/LvdT8
qjOkuVHY2cBkSF7baMLJpmkkasu88RNpfSkVHcWoL+Qjqk2Ch2ThIF5sxqjz9I1uAdlj1LmU1Lle
mD+PSmY/bKZAMcfJT9GIfHFAy4acFHx3xgESpMD0/EJpLw6+LYEJaMb3Ygx0LEAkfs9k+o69DLcd
K3k1TB4HKIsEuAUncD53MHDM4mTl9YdU954ayNa8hqoLstCN9wQ/BgfLwCiowaMpW/VoJwuzN3V/
R4Cxx4TgVYlWXbU9nhuak6P9Wt0kC1qYPuVlkAO5vWua/A2Jm6TxNlw33XC9FNlb7pTefqIsG0Qm
P7QdMV0bjRvKTHJldbiBFM5tBhzCZy6ZwqVhZoHsGxGENeu8Wo/MuSK+wh+5xrMje9MijRXLk50d
ZHYY+fqZaCxUdzQXSrrYQGEKnBvC6K2CWYugjN0a0KobaHF1mmhXQSdYzbqW4tWoivyu93RIxYPm
fmhlvlvQ/9iGQPY7C3Vth86T6OCxKMLTk532xFbrgyEyuG1thRGVzuFxXrvzyLIRtYcpSkjpv46T
VzckZrQi44HpHG/fzfmrKwZ6BaxwvePVOC9ctdqshSV0K+AEcJfsPUDfp9ojkEEEn/3zChSsMF03
HkCFtQGFVVakWdO+nVZJWbJGGxqfVxU13jkxKwiBImoMwesCYkhspBzi0yg0bQuUKvFrl0Vbdcnr
+cK5XKKYvlx2qcaZBoBLXdNDbD/13ujt+k6wX9cTr5oT10hbPKTiGKOilMUxb2EkQ7cnrgn53Sbp
8F9Ip+FUjRh4pkC7dlMXlqi18zetXTcsx+LP8DtYutk/D7gQ1oPMmxe8ClyUtulbsyrfkT2+nreL
3sneOkThDACwE5RpxBe0FPE6XPP82iYzVHrXbnqGiTckA8RDC/EUUbKzQd2BBF6mp7xysyBr2JXY
qFAVLPWLJavT+XSioUtRn0GEnaWb4RFu1dsswvAeUsiuIEjyExstsWpLZBFMqLCffi9zNhNDsnIR
IrV0DRKKsLzHpsbnDuy1GSPkgTVZexQ7rx3x1bqdwV9ly8vt2/Om1FtsL1DsXtKJa0t6+1ZW9nJo
cuuBfKdENsSrgiL0FddnVAmGYsB+4OGes4l4DVjsxNC267FjV87t+ReOc/a2vhJNYj2sR4FjS+gw
XNj5GdTSQ4kMXFzAnEe+e3Kj1PKRn7JsSprrocR6pQL4JFKTGq1K8c+M8q1aWCpKsBjPO51rsplY
sftUzRBeTKYbtuwm4x0eNB2z27y/GFZIGvwLf8o1wZ2t85Xd+nQmukS+tVQnaGkiYEKDf1Uv0/G8
EydwyILEjvJghC/GG0yYNS/uk5PXDYLcqLS5Enfatcw2EsXwAPqkr2Ew98tOy4rktvJEFrhWzfHT
siOwhvn49VwxMi6qXYPnzLYedAQW9LXnPbIPXsSZG7musGnhv0Ro+mCx0+xQ8zBrV7HolMfGk9cs
K/hF6wQOj8bwCCjWpwuP6iUpecOdmF2fLKjEZ4MPbAaygvP+m6+7I7qMcg/jwMDDpKoOTdp22/WM
Ux5fEMWsavr1BGRLdrIZD9jIFf9ENRmb4DUc7pM03/ajym60MJ+fsWOoDg68eeSbBFdiyl7Pa6Xs
itfUjd8wLXyiCThzYCjYNQO3ej1tQo99Met4BULVZTeTY2eY7dliYw5QfMyO1qslUXpiJ9HsmMWn
cwYb/HbEuoIS2BqfU3dPmyY+UCPmwJu75pZdsrlOzLijrwTlubUAZk5GPAV4qAIQ70d3W1VeGKQg
qmkDj8gtw9gSB4Qz0WvsTGCJDQzgdph9QIBxk3aP3SmhxoRApqleQlV20HOa4puGL+YHI0/ra/pI
UxDV3QeMyKI9eU6y4hn0F+iFeKcUc0lEbCQB5hdhYBhoynHL21kLadJQRWtoUA/VlbJiB+4MSAGq
/RLsU6ixEprqyl0TuAxA7aZZ1K2h0+l2zEk/0uN+7TUGklNH0lzMsDOU49LucPVYrlH4iw3jDa/o
duRD5dRZANKHv7jguS1rjPHBKYD4WXkWoORMfMgg3dYyC+HDfcZcO49MYpRmIEED8VICtQkGqX6k
CwFbN6AR0RvG0URYd1vpmIgQmpd8nTHy+nrZDExt3AwMEW0y12j38E9SH3xcyNcDVyg7PsxEG7mB
DMZ8mK73O9Vbx7wavkR5NP7IOoASTK6FwUhb0CeB+lY74zaN5m/9RPCs6TGbFhozGt4D/a+G6UBW
AwaeGVBXRjWGDdY0FN5Cmdgopo2DltLHNqiXbmFkrZi+e21EDggkjuOo30XQO5Ey80yj+EZjhgCK
esUiHJ/pph2VnbsbNymgPXnaj9pm8TmjzLYSySLGotpXq2PXTRvdwIXEfKAnyiyJEielGVlQRmyZ
Iu1hpSe6dmiSWKCdLXhr18xnyfC+FQvbUtInb/pUebs4Jn7SQ3aaqoznZ6MzIeM7ckHlyAlklnb4
NqZaRY/SzT+WDUx3cxEvg2SrAOLyUoaUOIqsUd+ixcNmVEMkQxu0QwFPEBxPzQIDh4hJkMMhMNQw
6znv46aWnQzBORexOVAC7bY0PSmx14o/tWb0lkdw5xi8pi5KBw4Z/cEA0oerTJL5TOt2q481AjxG
ysxxfIWXgqlkOTzQHGIswoPRp5XIffCHeVuvc3DFg071Yd+u2omQ05pxi/S11+NXnG1ekOATI1vi
ocXcddNR9/bHeLVm1GlgJcKBlOVE92U+nupZ/0IC2exQ9igQJVI9Ixj6nHKmRR3jzDiJHEfFpsY0
VnaTjlwNviYuAywd0fW6ndInX26ynhNvcOmdj5b7hA7ytZ6LEwHGdL84EyRcJo5qRVyj6d5JTxOb
vBEgXydHlAZT8cEDsj7IGNWGzPmtibIxQU3je6H0+nMiuPcolLutnjlXuckKq3NWQ88gBwEW9xRS
H/fZdNyPlVEyT6cl41PRQG9DsUTguRavkmj2x2xFernsayHeQtusiadbDRlJv7G9dZMuyFaGoSb2
bruFH0uMKZeh3pdJumkqVR1oNO9D0bdXupe+lVr8hmXJC8NQoPhL6xafYRGcT/RuIglbw51mXas0
36ZbLFbI8ogJSK7lFqqhttW44I25npnlXOFiuGYty0SByIH0GKDSfKkKjp5h7Me7CEsnRGCCh42O
a49jWHicqUyitsmnu8zussemH5gxFPpWg8TlT05MdEdGvz2fcgp5zykZDMIoc3aDyPX0U1TzNblk
DU+xsXwp6CF+R9Ds+VQtBiogveV7zGcwdspq8uYw/JqPLZ+iijexCPFahEN5yjn1zquffHPbOSma
I3N5owjBr8rtR2zS9rYnH8qIY7IFpBSktfZjLVRZ5tIc+sgbbizEGZs5W8/AiPWJRzsKPGIoNoWo
flBeWXCYeTWenEgDpYhvmYFxaUkbGYoPOtSZ1R21fknYcWuMMxYAOA1fv4olcAQnwMKn7C5XyFV6
c6UGxqMeeAxc7FjtHHE9j2gozYfz2etNvKcx6Li/J/5rjeIy7beFA5jTRZtmi4tKWS97UcfVmIFX
4zatKZXZ8aMdhmbwcTMfkoj19/evtP5U0bDXHqku+UZxyY8Y0gGBYjpne40JzgA8O9YCXffS1NQh
U8GEwEKjnxvHwsL+adnFslgJX/VHq/mEEupJuAmWrjG59RrZ0C3UtnCBn7IhuhdyWhhToOMkczpO
8YgNSj0O93aBCJLWEzF3Fz2fa6fntMzRJV6hRfxmT4zkWJ39oGdLGYxap59gU01Hu56K06TpxJDD
Ggc7pF2dsRpy4t5ESm8R7mkC09017wP54z727vdUCxUAucbDwm0NPOOEoRDS7MCK3BAckz7976vy
NCEMehOozihEGBdFsBTRXxGtGNawJY2FiYRbdk8RxJbEeUVmfUzOe/067Mus8ZqYEaf+/bH+oQ6H
XpnCnqkbtG8uy4dgChorkVm/T+FbbFq5xAd8gzn4mBhlLj1lfNIeoDrlifFOhezsLHCxiKkYQHuB
qwG62byoXLKZ6EjfMVhxm2nYYPjiBAz56o/JaK+OnHX9pRdpuA3FgkrCSu+roRg+eDWWhMakv/z9
NvxeswcAIVeEND1FncD716KgUXaCdJPZjTY03G3eYDbYRPydnldPU6sGCI/aSK9TMfQfgfX8+7f/
4dWiT8AFgAA6t7J+/faCX2h08AT3Ddr/IKOg45ckFO8stz9sGlSZcVS2XOqev7WpOE0B3RBL7Bfs
q/2eCbeAQYov2tzeYuT3ee7y5J1vvGzQroV1eEYeq8iTOtX9tXj9U2e9Ad9BWFJ0ezzg2+uwo2Ce
dKa64v2klDO6TzHH56YWVM/wR34tphxR/KTXCNYatBRD8n3J32kar33sy1VHH9G2BCuPIvDF1llj
BZZ4ombBZ+mXCvOZH/8Ev1lKjJdPzTvkmEtxAbfAAvDjMC0AFWdtRP56C3r66HZYZu3eTZxbBfEo
KDWr3FZQCn1B1LzRQeyZefpcM4ifC+dZJTaQ5GS86WX2Hew0GmIrWW7eWXHr1vLrbbDAWVkQT1h5
un1uifz0ZAzw0HPkRO2+ABACro3g2W5473tRcmRKecUAyimmSPbJ6Op6HUckoo0LSrpa9aKricIU
cdwGCzxEWdU6eG0bt4w3os5P0292e7A6MQWLSQjSOVdGazxIYpw+wkgCimG61bpoG8MK9R2cOPyu
xMBq7TpmNnMMUqyz70UH9sNYc2shJGrvsvAFA3TcGkpZa9vufMqki1BXf783l5IWHtnaSUZ0YaAM
AS100Sz19GHqSAwZqgxJF3C5jnyng4eZjwV1MWedaYkNnKe7AizoMIjzz6S0ijlgUxEQOpRqQ46d
BW/ZYy16bWsJukTDGjcvGVFpi6/TDSUJRpddKqFR8e5pfUnXOf8GSCbAgyybprS4OFqoZbDpKoJN
glJQj4yxB9TUgDE56gUKIwwJuzjBaFFbHSetjZYzez+K+p3TZX2Zfl1lDs4ALC9J51445sWdLNLF
qAeIpnuEoUfJcMtGshIQ3NjvfJH8fQuldagjAqHD60jncqehCxIihs9qxpSpCqYEIfqMgqpxuvIt
X1oqHA5VqWStLjdTjz0bmJaN7JnzCQvmLsY6foXE8spAvjzhp00tkBSQ+5ttqzVnLEneqW+fwEpS
OM0pw+H/ob3Ty/vTQ6OBRwPUgkVk/dY5Lslcpb7E9T4GRhPIHN20KqfaL1qiTobr0PSO/fc1X5oz
yk8AEd4Apb2zY/2+QULHs+gnGhLY1W/HRC771ql1vd4Ls/phYN7pcxtWbwElfbTB73ybXPe/iyXi
GLqDYwMCCgH08tf9EZ9T0ENYM9K/xJcqq5Hhrm1JRlIiLAkiiwIuAfXS0eRAuRXdMeLxUk1VdmMX
BPemwCzN1eeb3GyWw0DiDeoSrZhZkNlrYTvcpMZ49/f94fdz1GG4YG0UOzY7+qWQQFmTU7QTr5aj
zQkEDfCyGsrkbS/Inyhli2AQ+TtNyz9E33wbKwIgn2DbvnyTwASBh29ktQdQwhKuDJNEfJKnFP/U
lT5CPRVCJRkts5OUp649g0LlWjOk3q5tC1mJICkpIYQ0itBtD4A6LEM/UloB6k5oWRukmKCFssCw
uhcY61TT15pIqZM4rcq0HZa87GaJRb12bb+Ysk8eMjIqv6gAVZsQGxhCRyWXhMZz3kjGgzWaejUk
CIZginoXO2tkHY7e3lo7lCB8HqaROsm5t1HlTHvRc/u2ZsJ20vF1k6BDEX4xtGnCJK4dd8vyrifN
H7cNG2abzs01gUNeRgPuksSK+c99NHfxPaAgigLkEjtpmR1C8LriDCTJTTz5StmcarbFgz5Ds8de
MgBqK4ZuZ2pE572+kCOt0Tlh7tlkrC7oOvn53No0a91D81OoY0G7+zZOeQh/X5S/B7Au+yvBK4oT
AXLmYr9XkUkLVjntvnQ4jHume1YpOK+EGQ/XEcAh33OX4rOJvXRgOEP2zplp/r7/gtF1AAyaJIe6
fqnv8dwpQ/BdgmvI6aJVUk33eka9382phBuMlXwsa6vALSTOrnq0xkFmckJOGnXsZP07C3Zv0AuH
We2FZcrZRUfJoQGEZ9sXoffHbK5etJbi67n/QGkDigaV6gloRBirF6teuwEWRfaUouReFGuNb1rL
uUudPKhmND+K3Apq4Z3UIKEo2wu+VqvmpYi8N/5H0yPXxA+zBXVRughs8P2U78TDf4gs8BRwdSbx
PZNT2V7v4k9R10CvrkzHuNo3NCnODYLCXFvCOh2hOuE1XLp83EQZ2GSRwe3CtMNn8IXmQX11bsMs
okc4pTx8/0bxkK/7W2M/ISLGPqurP5d09INophfhYES8//sS+33fc8HborTkCZMzXuZIfYfDY0Hh
BbaTuddhlzMj0TH4STnyXI3CnPKdXe+34NlhTRGfkpSh8edgXy/pp/sV620I5YY6B6XtejPXHdOT
a+f+3Itpz4+3pyk0sL+g5EA0whwSfc4Op0UDlNtWAUbbWohZNkg13jO0ujwozxeHq5HB+7aqhtb/
/6eLs2c3TbWszPZJjI6gU1wDXt10AWiX4Svwnn7tD1+3vuIolQydZOK3YyerrZZGZLYfrXXVOsVp
1giozJa1Q+74Xr3HvcwQHPY4dhQUnQjZMFa6WKuxGug2qiTex3GM430ymOyFTKtMprej1eRBq4BT
vYWKxplBGHpIANwfdF0rb83KdD6NZuHdpwNT+UZ/h4PftG3ApG3McWi2I+9oQKmjvc7dutyjc7c3
dVcmp9JIPdQqzFYkS1fu2oQPTwbms+hdPySUw6/SvtR3VQoiAWQ+MB7s2g/kMGbs41k4BiYThz5u
OAMzTOOOimSzVVHDMKWMjCNaDo2OSnbXzsL0Vy7r3pEYf5u6Sk52o6UBLKLoriRP3i2DNgS4NblB
zwgxg0Taq76q7fSx6R+A4codgyQpeAMyNZzHB8qG4N56Yu4Fa4eQxi/+z0cEqhY6sMxLobc35a6s
zeTYp2oAQIHNACWr0NgbDlhFL+EatDpcvc0/1J15F8WJDDSqw9euDYMq0xb9S4/t+r5zMuudF824
DNRXxL2OEgukkoUM7xJO6UWN8rScUx4FhXs45z1GjmqkbAWdbWKpVBbirm6acg853/SNZcaxpl4f
YMWYuas6WFIpqvCNo5wUFF78LZepsXORHm44GWBksIC2s+bCKWGDDEwGVXc0EUx/rUrsXGPRnuZq
NE/e+vFp1d11sXyyHNQmIxiwrWf1xrZXRXnAZN19p/pzeXgh++OF4g0mjmGjERdLnZ2TuQC8XHex
WsDbzRtKRO8kKJeb5/krHBSGFjYQunXpT0YWZlEIWEeUIZ8E1UAtdIALFWQ1rLOW6TruDfYrf9+x
L4MCvpS90yS4WdmmpPm/7lAREL7UjvHVbCqn2dL8wm53EQ1ttwwxvEFLTzOs9qpSIvQZ+W3fKWvp
l7E9XOM1QGYMkTKnQcXl1++f8Rsb0qJiuNquGVefsNGB57IEabp+Ib6uV7XXgT/W5RNlh2yfm/bw
/PdbcFbA/ZxfnK+BejVDRS6i31Ug/vMuzWujnHX0c5famcaEX9MeGAFXJOICjJcaEg9qvGi/TmIJ
b7mR5i32L2EA4879oGXOEsSDAxyUQZ1dXyzui2glt7Jpie5iAD1ZrB5HBkOuLOXwczomeJvGtE9O
PTYfJYCJciU3Jnvm8u8NJ8JGc9Dyd4KvM476l99IAAu5xmYGhyoyZ/Ovv3FOOma0OEJ3PW/VaTTU
tBN1hB/3UA3H84/w+ji/F2PknMB+6D6Nx9D3FrEEOfgVfyEECxiqU74Rh9HBi2I3wBlI470W7dW0
yLcaLcYB43ckZC58qCQyHjJZGNtaJcMRl5v2kDe2QgGwuHt7cga62u1Ws9IUNQekotzGgZgkZO2x
l9quqOUSqNDC/SJm2lo1LT4pi7ur7QGJRRw9zhh3QTQc8/t5qWEnAW2Bin60xn7FtUByjZp4uJGJ
071oVfn970vmEp7rOtxOKuJoKh1KwcZlrlV7+LIt5E27KFOrTYamfCcdTkk0figKMwQYaOq7pdMh
YdkzODwqXn4KA+iQuZA+mLmCIEB/2c89XrO0HOLrJovE12adtReLt1zzKfZpYIyVjrBZHigk9Rtu
ur3PxLBOCXrXZHnCX2GjdDdaE9utpkTUJ5Wv2dXHHiuGHQywp4KCdPDfxJ3ZjtzI1p1f5Yfv2eAU
QRKwfZHzWJU1l3RDSKUSg/McHJ7eH9XHdg/2OTiA4f+u1apSJjPJiB17r/WtdCb7659/An8rNZYD
kQXmY4lSpKr/y7oxjbFi0MYHoDPxE8m8f1u+8IbEt/VgRfpf9CK9vy2/rukIB5kV7UhCpf6qyM3J
oLfNvmOZQBO0gdwavKOOUudqLgjcmPNx55DveKdkp842Ae0rRqRkxg7WvFnSRVYO2fFr5lNvOggv
QySv4Qyaw0KqMsrTFMHQrCduTp2g2+Rn1xWFzcYI+HAJzw439sAtSe35s2zr+cEuUaRZ9aw/gUe2
h97hi6w42VyS1pRb0sCjnULX/TKAPnlkah1uLFtpAJQxWVg2YoPUtejTyLnekgKnCSwbgyNjxQcy
tdpDkE7c/nPQX3PSfCCilfo6mKwtbZWmu3Z5O8zgFt9trl8EAT+bVrNWGkr7ObwpgGkgdbiVOiMB
01MS8NUU5lcnXIzZ2mImq1Rp7IImp3eqI2NHAhZPlGfJraKhQRlFk2z+9+8WbhIaCouoelnq/7z6
tFJmaR4h7fQblCWgBpNdU5GOM5duufFEmfyLU5T7t70UWy69EJqaAjIZzfw/v2ASd5PkOgT0D0pL
8HTOVxveMnlzLgsUEFh725d+t++G0dg5Rm4gE6vV2Uo6/zC5hFQCaetXOcjGF6yHiI9iNoV0bkW6
8kUCbGCoWDYlH36DdHNjNqxgU8d1WLGfrHuCQrYTuBJotgDqbPdp0M67a5DzQxD8U6jiH5zEcSYz
yjznneEdIiRF16iI/VvHaWcLsa3eBjqjWVSoiiy4sdtLOld7l4H0jrE5y7DmJccgc/5Fh/HvDzYj
PhTplFgc1MVfT+kyLVAGzyT9kjBKAYKZm1wTGRzRHPkHNWNc/ucLifX3wpJjG6ZFTrzI1DF9/2Up
8ZG3QeQl/Bcdk7ONJ5ShcKzlBQtsty9mU51H8BAwyCSYhL4hbIsvRKZAocDcW+DOCkYBYPGgU/Jf
Qc9GZWqeErME7zd6VrevgJ2jwCybR4jNKGOKZXMXYcPOE2c3UZTfSE0kmA3MO4prnldpZd/QL9bb
RKIKTcrY2ET0Jp9Ln81ulv410wvhp3V+1mVQbuZBQMvIvtmK926YpNJMfjif6WvZW6sfaayUzTO5
e9wLC7P319ZapZRajR+pdxRlzjbIEdxbiHzRiLAQEWHh7xVPLxGgmYl50u32pVx20xxMQlRRl6TE
za0hdRN4syxz2IATZD399L2YuYOwnTMVqrlBUwgIB1Tx7D0pN3YLR+gVAKux43MDbk7EDwMLD8pe
wV4fGIopwFTDsv31txlLRYy3fNd4i4G/RBmy6e2hXo/M+VfTsusmym6Pbpx6rDOstLE1UA9048yH
OLZH1Zn+1aqZpvcZfwy6yD+0IOOvheJHzIgKogiDbtOWiL/RfHf7JmqbuxiiO7qzsOTJ4zINYSV3
2pjnTaWtdttPJTHQdRgcyebiswOPvM9m+SIn7wOmibVOM9c+srDpC54aZ8viz10sJn+v64ySJaaM
/rVSBpKPD6Upr2DwnFUBlQ5gYybagdNxaOfr+HW3/3/zfS4v9FH+73Dqf7zwf2qINFszVf3/3dB5
gNH9ob5l/3Frvv34bNUfXZzW77/8u4fTC34zSdZhBkwrgSVo2SZgahMt7YnfFu81i7pJrcUSwd/8
w8PpOEu2NLMjCm8fk4tk+fiHh9Mxf8MtBlvL4TiFAYa/+jcCpO2/Fn0uUyMLET+d9WUgav+16LPZ
QSsAU/6eWGHytr12qlGlwaOqjKn+cDunQeWigE/X3I/SGHJ2m7BDe5iER5vt6IdJrNyBxrpN97O7
73OgYMsM82vWpB4OUAmiFm1Z/cH+jXYRz+gaa3x0x5BifCQYHbp2XxCjZhHn+AMi97QfVes9ApWM
h60yK5fsOHA5xKRLtdNGvpt4zpBxZmfc+WR1DLI71nN0lBJC68Tzvour4B5qfX3AJ9C/y6gOfqSG
xNyl1AR72gj7nVNQEEGwyMYfEY/iV+i//YmgbHsjkNbs57ZUB8xbE3YDVM3tWNNdtLNrMMX+vZOF
w3ZCA38oFWyNmniw1VBD1Yv7dr4NwL+2QTIqCwiInPYEX4PMn8O4etFAuj5jSAXXzjScU+33zwzo
gjd7bn3OSDWYJlvomE+1DJlCxExYQII3jbeFLz7NhBAmeu9P07juSjt9hydggiAbu1OR2h8QO/Q1
TOOYsDfZ4nXxIfsDljg6U+uRAgGUn/6qFy/iYuMNOJB/ruPWvUQIxr+T1wC/d2yF8VNPsrvmk6/f
S1ofV75wrhNpKa6DYh3RMbsj5aYFb+kLRr5llqFT8X+ObkritlRQ8DOt81OdQq5tMudjyAcAJTOs
1l3ssCJxw7t8UEbx5OZ2ssvmEFYNyQXvJBkgDsQddAgEdNSqT62rozhf4YmqN4MTcOmR7a2SqBMr
rYWGjknpcxZG+EppPBAXZeXPHJE6uGYVJcasnC/jVJHGZ/vE/blefh9nWQLQxldgywm7RrUPItUL
2+2QemA/B9lsc6E+EbFiySVvUdxZlk6O/dJVzULzUnVmfhnKOfghKjd6GaEP9avByV8htGQnX4Xy
eSigSq1G0PAX9J0Eolam/dDWDsIuIzDcjWT7RobHkeIH6Rz3pCIYa6uPqh1nDPtudqYcrroc79SY
gRSWNndtDI/mJaOAqjcjx8mdkfOZBQkaL6Mp+q8zRMozE6fqEQGed57jyqe/b6IfH5MfNR1TlK0N
c2jPe02rsSQUQpApZ0Rn0UzJZhAwOOH0FC8WCu87xdXBWiMqncTDwVIoaZPorivN6OYQJsDR3wG3
MqFhB/c8AGlqnQEJU2hC454ADXiQ4j78OUV2RipJfTBE4+6a0fBh8C9UofKjtcaTj/llbZgD7qaO
Tbgcrrl2qoNfN4w+TfmswNeSFW8fq4LmBQnN0tj8Ya2+/d4i+KMn2vmL83VZ9WystpQ3YplJ/HX6
GnoJiO2W5QA+q62ww5QYuqqqKEAM+kV1gezN1Bdko9MW79mYOYo0j6a5c9EQ4UwIi/7czXr4GeaK
6GZVZOdAOxFzHkDblzJyCmzPWbNrvYGtXDoISrYdItpw1U1z+hj8ep4RmPNsO6p1gBDyXMhju6wL
A1g9NLbawfHUIwn9+s8vnc45x4Q/dE0QvNmgpAJa0x6HCGRffz5GTEbnEk0RESUgoqcAwayXp86T
4Y9fTddMVhaEPwy9UX3xmt4jR5TveOfrseJuaCpo9UYkGmuLfZoYT8jf4z6xF65skunP1OkX9M44
Hb16OLhjdqyduR7Xdt8gj+52pWrqvSjak53Z/prS7aOuR7LFYYrfSAZqjgj1ahwUWX8KLKAjdk3L
YN2mHHvTJnWOhW4cSUyI2W35HG2wASDftNTxXgRjfuu9IfiKoan4OmlT7wByFd/t3OnvyLOu74gg
VTtEq/m+7AbvvQQoeqT6DG/Tkj/LH71dM/cxeGZHnUZNLkVAl2475yDc8RnO1KqDcyGufDrSKOqM
1eB24S7q7OhpygySeoc5ate87WFNEpfapUjv9s0A2oYyet6iswVBr1gjt00bNq+dLSxM1kH1mizN
/zor3J+IJSMm12l67mFR4QESybmCiS/XfWuLVwSc9j1FtPGEi8Be2tURewsB0591Uo6v5ArIV+GV
xQ1RSHPzU6FPtBGsA1YSdQlrsznY2j3myFg7/avVhcO89hHPrrzeIqBhGAZm03l6p4eir3Fk0cBT
LmkQNF5weEx188T0FyefDadLlZb9HVlw+IymqwzWYfaiumRw1t0sBiIVWrI+c7MarrNjd5e56XBS
Ip4/Y0OUl9xPaZLLLL54YgIThYXQ2TWkE4WogsgbxyNdLb3E8L41hupBeoNX70eLOFmcNChTXafY
Ns3Qc56c01vPaPEqUbZvFGE9TDad6kRGbfBAuoJ9zOqQcsU7GtBUm7K4n2z1lBH5Ug+kgRrRdB1b
CZQQGSoyZw/IHUtVu6xZJJK4O+Qu9cGJLPWQEzb7019WOEhMdLmY1JYDMiZXE39SEACLwHBZGEmV
ZpFkpXA3+AujW7OsoX6jWGey2J5ZCBS4b3tZb6dl5R2XNbix3fFUEOsBasyuJxwU2udAPrGiW2X9
qMm+OM/Mg7+KQZoI9jzwaUbDMObXxpAse4S37BZWZnVwF5c9pI7S2Dhg2iDorPu1BZlBpSKc0VNH
XJNVe8+TWYp7Eq8wxYzLvhY3ygFiXFopFi7TBw6JFnzXLvtk35DlnPzaQYsq8r8PVSLYKrin8crb
cYWXIIfrUXWAtkuAzvsQm028wbbClj6bZJ1Gk9GqTcFAZGeBZGtWM2emB+9X1TAtBYRBJTEvJYX/
q7hI5ZAQ/O0JrInUHSblYxioeo0ABtQfYeI+MRb9eCY6lsCcwBiPIfwdmgt5vq8ofTBS5MvcrLc7
vIFEJDNtdtcFoeO4PLIUtizwv6PTld01iXL7TZXSveta4T/Cfw3zVUP4FgDGJvjEGW3fxmwQH4TA
6lvcTvELmPzuCY4iUpMION2xizhkoqQ24ICabnwvsf75QKuUcycNh8wbA5otNR3BBoNrS6IQbFvc
ciansEOr/K7riS5YVYPXfB8b/W5KAnhRr02KaD9T7MBjWHufWJ9nL+LCE04Nx8aoIjD9hNU9R4FP
5io0LmfrpK5xw0voHD05uk95UsobY0exZqjO/ZET50jHYYGXmk12RP6SdJs8VgVmJs2UKrIqFKgB
M4urJEViK/UQAOiOze9jMPcfTlksKdhk8EBQ5EHbDcMszJWUEWo60q3st8mLxZ6oDp7ibJTxyZMV
oKTGN05BrYdDnozjiWR5NC1u3MAMrWWEbt8wv6C4uc1RNz4DlyUorjSyfVyE8YlEgHbkQ/Plg5rs
9GviyBCWPZMfgHh59z0CNf+16rt2yxgZwFaZEjcuw+9mjKGRdyQICSnk2a4Cbn4DKsQSzBU/QCmo
yawgwgOVNVXgimGse4u5DMJ/CiiDeEvLSq7KZP407WW4TSQIyk8KAAM9BR5YP+7qLa1d871sU/ek
p7a/CidGyGB5/ZbMgYRf9ma6oCrlAgraXwyfRqbzGMKyQJ4gw/0ko+v7xPR+zwZGAGYQlsXRa4TP
0z4soRqYNx5B9U8QbASFdZiar8kY0yoq81fLrex3t7b6g+6z6g2MWvIG57HBu1Y7tD2YXehu/loE
5qsjM3onCYy5o3DLqy2H+wSyFEU/hM9+HGnx+uwVPFaqLbemHpFa9EEpzXNTudXRZ4SNDDUVp4D5
6GHuqmRrNWL6EhvcpyZcnfM4GPihlAw/7CZGE4VDd1jDoqasnwviX4axJ8VauT/6XoX7wK2NnbQm
e/HBxOdqskkf6gujfJSGtp/xJ7TjmkyC7lMTcYFtLm39S1EXrDaEbyVPBPah9piHlovK03zn4VDZ
02oTlMZVoHkSBRmyXtBI/lUdf8sYw65Cr0KOiS+V56fl2nW2JBr4JOFYIIZ9LnRaxQl5Wy7HEdxA
rToUjTdvhyDDPxjOIwcnB5IC8VjHEUHSPha8Prh+7z2nEoy3Iez8KwbUaScqp9wh9Pe+qjq29rbG
+4Rdn9CNPJt4apvJBHlXqAQ3fNkek6z9ggz/Onvmz6KLu622Qutbpw3vPqhDtsfquU09EqVsjNGP
dgQNcj/Qev+RODOPgfJf844+odGzt4MDs2AsNsOebENM38oZ92YvmU6PmfnaRSPBHSFIt03d6IYl
SXfQB+zqofJCdM5sJdzfCAC6Z9oT87OsejjNhJn1a8sTF1LncKSWXPMN/Ll9BT4broyQ4QN5V/ZD
PzCT2+CZ9VE3eIHxhKTPuTlWMfx00+9hO+MlqEbskNGs5D0ARvfQxCllkVFccx8AslnLTdNmoYft
KdnLuK9ZRWzOGGNrbHLxY5J5luzAMnY4kKasWA+BZ9FACy/dkMx3FITnztZ3wuzf/fRrOT9OKlrb
bmet6sJOfiYiukvTvKBnX5kPngjrL9xfbF6gIO8HbIHnTBXVu6nJh18RSGuItcE+i0jT678wXQH/
mQfOl9BMxRsz5nrdma17xFOTnNgJ1EVmobH2VbLgETMAsEZLUZFEx65JYhz+sYdErVcPcVLJR7z0
01eBMWhl4Po8NjM9wTmBge4VKWkfBKeJmf3UG997lrx1VZSWsy5NWx0iV6CZJ3d+61rJvJ4J63gi
zwSAkEFezwTIfjcyxzy4C5c9VlSyUxZOW4bv44Ea0kxXbklO3aphvnQTWVEd3bofdxFRoNvUthRa
fCo/bUMmbYK+PoAiCrALZyRalDFs9Bjz3o73QBhRlM9bXXXJe60nsu26MSLTJs4fo4JFFOyvAVJk
2XB9qWqyy9KXzJiqU+q2/T4NKwqyRRfeM2YsNygUngEct9u5r8pTwpoBVHnKKgC+pWevu8wYJJLg
lCcwJbGMp7+BNiExga94KyUpCTm/oTtMoFMIpxgaMvmXCDQ/KrAwB5WyQoQOrtG2kxOPSkzKpA2T
uiuKZmX5aUIyY8lqNgwEwUap2Ex9Gp5tKwyvWETBI6rvgsZMki6JIvyGCs9NHqYrOx2RaABd7nLf
XSsPf28m5ulEh6/YUD48ci5f2wG8ZkbHhDNKI8yvKrXBlQza29AnmDF2Czj6DHY5m/tpdsav6vER
hECLmtL6MfegMTy7LX6qcAB+MPjx0cf7uK6NENeIE3blqQAR+cNGlvKFND14OHVqh4+uoYNrQaF9
46wCbj4WPcxsSWdJwOF6TQxXr7sorr7k0slhdWTlOVlo28KrgOMOpn8wnTjbu7qp0SgxyGtBVFcj
qfEjCTewCAL8b15i7XnCnJeO49qNEZ1aFYgHtnFO70MFYG/NCKFYkp5LW5zG9jD5fJ4kI35pcbsk
tfIfiVwJ9jhFk1dpZu6xTrPsQgSazzjJEMdwSG4Rbu7+X0zw/iqD/XUUhoiHuhyBMUQ8/89H4SEp
7DAkh3hvIGXAeJ7IjybS5O3UovBRrjacf51sjJ4jWYCNR/01EKFF4s1DNqTTd+nNVbPNXKG2U5zM
1ipa+pX0dDAc9IHZMxpRs2sQHrB0OE0JRH2FYJSfLqV/ikXpEgfICdH4fVL4/7ohv/8s777ln+1/
/VMD/r//+Y/t73+OPsv/1H48bo4/9DmWt/Ifn8tGOC1X8N/+C3xF1Xz7Pzbjf/3m77143/0Nzy8g
lQDDF513h+/7H7140IhIwOipBwT+8EM03P8nTzH4zZJwSFH3egDHxP/qxFv2b0xjF4YqeEGXu+ff
acT/VTOEjAUqowzoRvkY1TCr/flWlG1maBKEOyAE0dA+qd73n2fPKKqNAEB973pAEzYGZ8FdYY7l
ziWCd5t1kfgXnTHEHssY+Y/9Id4GdgSKP0xSkG1/vdM/6DtNwQNgTIzb8EW3r6k/9ZtQBuFRc0h6
7tM4uIxM1BdReh6WaNTLnhhAxPZWMooD/yveYYglq54UjGV7Ayyr2KpWmYzjTR6F4mZ2U3gEPGFv
SBrqUYVjB10lNfgbikL7QbUNuJzaLo7kR6H8qA16kmOUhVujIRjXEd60aLqKtTJ7AoFs17N3ncRb
lnCkPss+FWAObZ2uE35+SRwdrWMTyvFbCYYOPq97x3zNOKARE0wT0aB9w0eUUblnIS6uOmN6NkLv
oNnKeHUavztON/8gUEg8L0vIvpwcferSob1BdweUQhIjx4JoKL93FK3HXurmXrEcnkwaJBtJd3uH
naK7RSRfIv+zAZInDpiJ6jDGBrP7XkYvkxtwGElc+Pwu0aDvVk9+GcW3/aKGwKA5TO8rKeAoz9qx
L+ANjB0/Yu5HL5SbclDNoWUacolYeI7ap6/UTNmumKJpU7Ozn6fOiO/62I22qLOqrdfXIPt77OK7
yRsIg+zcaRsJ2T2L2uTUibBgQ/+PLkkxiHdv9sNtQ5OGSBPTPFStM3Np9Y0gn2mVMyC4Roxvn3tE
B29snXqXiCUdluYrOd92vK1JsaTD1+gfdZ74W/y9xYOb+xjJQmn016HCHYDMhuO5tNHKDVdXUXEU
xtmvldxFIxI2HGT3npMsAkXSyNYzCVh2TjY17WWx9VIYWqkDyrttJUB+NWUHyVm8COcU/3u+BYl0
y/rlyEVbjE4X04shb8iZRjy7qToyyNCgdO8xo4V90Xbleo4iSojCML57NC8BNRTTXQ7xfhOw6C8H
hGYH2zzdVg4MfP5L/oiaLtgPhDW+zaSPLngGPV0j0C+8Zmk9mKNj3fpcj/dmZczrutLjZkCfv+Ko
sEwlmpVi5L2voq57IFtTErDJ4JwdO9nWM/4UJkmMMMiJuqVTXNwzxou2jh2LbUHWwlHVNqJeVUcb
NDHwKoBuHsqhql6zwuEUuJxoi4xNpwjyn86gIhREQf4cut6wwsLhbfg3wFarWh449c2XUY3ukZEP
E0FSJLYO1BV8yDk7YW4EAapi01+PY1ht8LjGh6ajUZZGkznukbxg60wpW3e9I7THEkFDhYJNboxq
5KxZ5FN+AIPnkEzlAT11Rnkft4bzqMdhbRaI4ap5JlGoFFe/dKd9khV642ppXSNf3QcsMlusUMz2
oPerYSQ/kTa8tpz4YyobhZmBo2yQdcXaCubwMlmDeT97Tv0eseofnD6Tp0br6lrQtz3OhRY7g0Hr
fcvbXpNvElKzus43u1pCLJJOHLqh7z8avI2PrMz+MfPK5qtdo8Qjug8VYUQfCvNC38OScyOZHn1X
rEdufhoIXt9PxOHV+bBRUZJPq7aq+12o0mEnAG5Wd4U2car0hEBfe475lIlIUpJIO2tV+i3dLVLf
1haHz25j16YDlrvXdOYsZ4DJHYevZKSH9y69nHlti6C0QaplfM9BTM3+Jbf8/sEAmkWBBpfuta2r
GURcGN1L9FUnNj9GhY6aUCAKQKhTX5yGKVdfKqtAz+1zuFxBJTfISyXwdsd4uOAIBXTLuaiKDgAT
h9DdOlXwOaUyjZjSFCjb+644+Vkr3t046A5zssxsMWPivMRXsS9cbyTSxg+qn3GZThUn5ab76bX4
oEI9d++5FfSHSpb3hTLe6nFoD8XCKcBiSbw55wkOQhl5FatJBiQl0m/4QqgyMRGSMLd3N6eRFSSM
SAOTPi8sYX895aTDKCJ3sg1xwCPBmXWY3Sw1kB8ACNMdjzKZdHCp8tCCLGiItn+0ktx9iqrSGXdd
ZVTfWh6Fb2FoF69lpoxrTRGoVmHJBk3vg1fLg3l4qYgNNtikQpI1tH5P88A4T74YQ8Lqp2Yt5TBL
xIwxssbYoTtOKJlziqrGeSxwiAPnKIp2PcaT/EkzRDyyFbb+kUI4Sx66ti2PHWkHTz1S0SeF6kbi
maltcafzoP4Z5a1jblXsybeiHp2PafCnI65lsZ9iLc8Stf4nNCT0mqFtJgfDt8QlTNxRASsa6idb
CQklj081TTNvT4w6sWGtUcvHNJT1F0Rl9aPLav005XV9IJda7yI4yWJXpcqXK6Zq49WZQ+fgijja
wg4kzMPl4N7pwXttlZn59y12meSk00eDpK4zwZsLmy8lgY3QKEBegVmbb2XQxF8GkfT2qqniGYsH
oRVIpspefJUgvYr7hAzoJeqoIKSkzXyOV5aB4mm2Awt6D8mchmVED2oQw3vWVNaLYwzOU9lZhI5a
rdjhdCiJhTKiFyRf6khVAyRdav4Jaq0h2YC6wfEwxsO+RsFwRh/qI1XyjQcx4Tu06h4qwTCXn148
ItjHkEHEd0R6WzNapI+mSc3IQQLfupvS3O62M+AscD5K52JNUg/5Exb6oiGKjmFbjszfASqUzaTe
Ijtvr94yNTQUQq0CefZa8wGvZ83+mSc1I2PItYzT5vu+y+iL1AHkVsfMDWoxfz+OCZmHBd2vlji7
sOzGcxUWhptj2O7tg9eO83BCgsQwy6xLtFRWop4pG/BNAQsd6XexvxM74Vm3tEYdSf+TW2EuATAk
jdM88ls7kUwx4OhxmNYMPjYElXrnIWqnrSqnKMcm0bTvVSjnVZiI6WgldrcLU8a4QjmQTGthrErC
c/ZhOUf3ep7ErnO5R13V+BdpEBAFsCVeIdyo3E+COsemeJdm/y0UDPqd9GR77zhGHBCdGuGiOxot
sJyy3HWWqEZQRpN+M9RU30AbJPS9QzBiSOn9uxLFNn2QX02vNg329N1obKdBtk/Ihl5Yq3IvzNhH
HiZ1fVfGLLa+6K0V5LNqO4amNTEBMkm0LstZXCXZejcllNHAFMuSM/CO9Fn3BHjZePT3QrfZMWkh
dWilnHab4OX91HaeeeuoHJI3fyGNAT9gGhIkrefQYnNkhaIYwiZqP98etyN+E9oPQoMWKLXw1JH2
Z7xO4mpo12GYRwcxDu5xLsHTyhqte+H15h3n5dqmvk1fx1I59klH2tgkg+WFhyAM6+yQADq7+Lbf
L1Fd4sAlkxenQT4BMLK+923k3NzBRrDeYAx6YrVRghu37ysQXXG4aboQ6lGoT2ACLw02EcdLMybi
+UIIKKIL/WYMZn1mfJuHsGv3WnbGCXPYt9oxgnt4s8pgQGxnn33hRfcpqyK7f4cepBndxVk9hRN2
SLO4ehkTtNbQ5ispIsGNDa4+l+bgnkGddTvTtek2jYv4YyzDn4JG9hZkoHc/QnChgPZ6zJGDh7o/
roxXQ86sIRNehnEdVIW5TwGFQZUV9eM8SEKSxs527gDT4X8I5vGbSLLwgQQhd28zhFjlnaAss4j4
67P2s3GrfC0js0bPa1XsnBHNTjFbcP+Gu7ChKIgH5+zwDW0hBHlbLc3ypcKaspVsNFAiSCjP49C7
TipTr1bf3NW27HYtwXZ7FAaMNVoON5dGROlZpg3dH2ln/aHkjLFBGG8DSBPTgzsKkqqyAs9R9iLt
/NMI/ftO+4g5LJWu6zFF9KSK4WjEkFsa3CblguCXVjffZzWQQI1s976k+lp1VAEXBYzhIP0IC6/1
HZfhqus6d5c6xHhF43RwDFdxlkJTQ4BozqyuJS1LRxNtoTiKDvRkgQfYZFyp4xiLk5okeu7oDLlV
XkFrWOfCh4KXYkBP13MlmM1Z2qBkzH/4Qx1Zq1YPzxUP087FVEle+gTqrU4hE4LReyCYTx5DbL1n
v+vdB9fK/ZM2K73tLIbkHlTDfcjTfu4nb4TzWDYWJWgBxbXPyMCYuDWMsck2pRgPYSZxFjQxepOO
0fOwsRaYr6e5p9FXFCLbUHXEpzC30JjayXhuAINtJiYrnLPKsj9aXk70sZEg+HBF06zztHE38zwe
QMkf8J2Mx9nVPvJ0JhERUfHHcM5Z/7Tmqw6JC0J1ibUVRb9xVqjQ3k1kQ4B2JuutwVS8DuooO1Uk
Rm8sw4qumSHcrRgCfZh1Yn9lUuS8LQ2mRypgclfDWL+mRVgenaIyHi3di8d0rlPWSuEzbS4adWm6
RF1VXiPeoWj7ILSCI7RVIRB3u/KHo+j7G253GeuElPCQ/qbJkGxk73MmesipWPex8Vzj+zjbk8aY
OAR4X+gmHwnLDq6DHIInP2RaSPBrgh2ZAlYvKt/WwddGw/BiKnwLZDNtJEIXhcNkgxv3MdFjSp1Q
NN8sWbibHMT/mug549g69mFMZ+NEi5FWOSOYuw5+6An386MoSQ/2SXu23eautN9qc7z2qbmdHabi
nfySquG+GEzrkKrxyQ8Qwhr545Q3TCqtZVuSETS/UkNTad6aKHiHI71hBvOtobHB5D6tQbcV6jEZ
+/wQdExj2WaKi5sONvdxUx4DPz37QuWnaHTns2wUYGrhZ4c8Ra4+pcTiJio7EGAQH4cui/aO7p9M
B+6jPxUwjzMOeLNm4svNUcqjKThczSpPPxx0g5eUfve8jodCbhJMlhTpxkGVibMRXWbuoyAPd2Xq
hecxAztrBBH2CYuT/qqoE+LlI5vg8tHbzK2vj2R0MSWFM9yj88/tw+wQgFdZsXipKq+7IIZ3XhBL
MkhsIK9uhT2xMZLNCo40DSdmOn7Six1RdtUrIcXZxnc4oswS4zBmjeqsSlM/VV5+S5nxJpPg5/Vi
qUhOjPk/i1E0V5KcgdNEvllsWeBPJti/urEYyFHrHxOkXuvaGYEHps10nW1Lb6Rnmx8O17eKCHfq
mHaMS4SiXx81plZkQIXYhaa2NoUHrSyi/6/r0dyh2Fv3zoLntcp3Rxrmow4Tpm/2GEwPgJI9e+Ub
stl1wrcZjUHzGQaTjz710rWnhwDurhFFq6oRl7xwUeJVcrh4U+hfQIReoxjV3kxapEMafTt7pyB4
woq+YXx/m+LsSFbadxLOPqeokZBlcdJsHLseM9roUX1orabcsW0a60EsKFTbMLelkQ93faotTtlG
fGDnOqSWOFgkZA2u3tBaT1ecwxnzlDxQXr5lt/2Ug31nFCLYt958EIZ1FrjOVv+DvDPbkRxJs/ML
iQ0ajeuNAPm+RLhHuMeaN0RELtwX4258+vnYM9PT3dJImAtdCEIBdVFZlRXpTpr9yznfodbaqWH4
RKMeIf6XMjsqroN7I0x9kWH82UvInE1lvMkkcK5s2Lsvw0FRx68DfKFs8WggjlLRjVGiGHeWu4+V
VJs6BTZBgLX7oKyG7YdjodvnQ3IXZriUsFgMkuk2vhZvBUyQTepilZtRUVFDrxti2HXV/e5xBq4G
rmb2Ww1xsMi4UAa4eAesoxsnxyKb1vFYvMBbp7x0RuD4Q7RSXOCIGmrJcGOfl/rDqH2bt4cs2mQM
TXSkdt7dabLbHTiYxzRE4xWI7gkSGaWeTOIndHOvaQXIxpvksBE5OHBWV+4OSF6/km2ym1QCmzex
ckZ5wr6w4wb+kaNmypo03Dhgk63W3LpNVeGZEMPJzh6MwDzX7FV5Hct7n0I6HMpTGLTBIWl7+PTB
1Gzavg8Q9qA2jVQ1fQRld0rnNkOqK9BG19PBVfm0J73NKrc5iWDHpGt7QMyuOIKMtQ5ZK4YnfFbR
D9yoWAc9+UXL/yIJPxufiD3rhfrlMed6GRPaP0Hpe4yZDG3JKX5AwkRD7S4BspPnH2wLn0M59teo
YNzS91X9JlkIHrJUEyObGL7cihq2K4CdZqNqXT9YSAu2tA3hbvBm9z7HI6AFc54eq9nGnJCi6EZJ
nfYbdCzJpiQiyvCKchWM6cQXRbhvbYXJ1rMAnK9ULZPXwZnsC8/Z1ur1AwEv7UMa2uQppyZTr+Oc
Wv6W/7b9aFvbOOJVTbaVNEHdmMtajsSYwxCM9yBM72zw4j1LS7b4QZ29GSWTb+U0T70s+bkSAgzx
kGDcRfKzjbjnqZMHg+Er2aRWXt9cVrarmTpBz8ua3DRUeZxr8kDUOH461QDPilP86CaR/UheA9GR
kO0YEYNOUivGN1TL4yT9B6yqLGmYC9UeHG7+vVAyhIpLRH28FL88Rl2rFvbDU+mm03PaRkqQB8E8
PDCBA4e4ZDJ2iu/Z7GQPrV+VJyI5p3rbJmmYsCdv2SKFekr3YxZnP5p0xK2VSWdXUWlSUGX9BjDG
sEmge0FvB90Exxw2vngkWWiIHgZXn0usWm+hxdo4rWk9tq0hxEuAm0ADCsoyAqKrIn2YWkoyL6zF
YRiFeZ48KDmkbBZzvJo0aRaedJNzGLUKAw1596aVoNELpfWWYDw5is5Vf9q4pnQM7fZhbGiYSkOa
zySNRaztkauouEn3CrmdvxauEtso6bl5h7pAI4CioKH4A7RvgUNmSvEQNI5174ERnCBEWC8c/OW1
Rxe7HyKFmMtslNpbaSHVbjJR7KxyqPprmv+aq8+b19pWwxLZ0DMJq9Dvffku58UK8kL2agn/sQ+g
wnp6LJ9SVblrMdm/QxiM36YUJEXCAAh/hXlSvFCGfKYBfjeVNc8An16sIBs2wzLw6ufx0M2a+A9q
5/M0mTyuDoMv3y2Hw2TM5VftJN7Br22sRVEIw7kCJBgxHgQ8ks1PZj8QhI7+HFGs5zM2Wxa8oWkz
oGNFvVrc4BVr/wvCx35dq8nbd3H3Omiiwk2reU+EUusmAQBBKqp7mVnK4gZu1Q87Ig56ZYbeuJdO
b6t1b6MurB0amyh8ieMgOPrBUu4A93L9/jwlacqBN6UnbXl/Esr/lUwLoiwYQXESTM5CDPGDF5EX
XCbtDDS878hfIr4J/ez85EYuuknPn9ZiyInw6qyfJUq+VeMk8nEqqI0RAspzm2rja3CjaBtWwY+g
E/7BreNhRZVkk0SRU4QFsjZYEREqNA2WOHDr0hpbJ8QD5WuaC+diCR6/0jNI5Zl840BjN6ITz5+7
hQQ4sZjaeap7EBTqrd8NezkzldwO2CWOWVsal0HD2OX7eIlBZS3YCdYrDZqr2HAH/FwpI3y09hLS
DrvpqzEr84E18LzyQyc9CR9PusiygMmQi2aknG7CgvQOWd1beeMoTlYY3PXU2WekcXfcaObKdMZd
M3jBdurylypPL7qbydVzSf2YrJS0zjkTnrd2+tk8EGHc7SwqHM5CRqP2toNFTf61l1Vn4PZdzBSg
sXmYwVfxAnEgi6CpX3VguL+QozG1rOJgTWEx8/UurAIew4326wr5PbzuXc2x+NjFbfjUzPN80h3+
PT8AQQ7L+9WJ3Ge3TaEa2sGXm4ozK+wHn2n33nZaSkEtnwPqonMS9wSUJJukaN50n37gvGDQ2tbx
GnDCysieAYnFm5kFy71xFn2AUeU38j+aM5m93WaI3PiNEAn3kKHE2IxTW21Q/kAyEt5GxbW99fza
2BddALH5eWLX9BiNcUrY6zx+FbgOwnXu1ZTd2EYRzDi8AVHpPIjeYi9GjrC5JYH9FA02MQ0CbbjL
eQqJimhSn9hvuhWqhVXq6YWcBidxjcnJZOTokkOgCkIuPHIP30wFvYUCqHaO/oQeXDBr4P3pCbng
N01Ppa9fO58RVW5Yu4rzDZfPYhMxMJr/nDMKM+7D8TkZ5+EY1SWJ1UHTmR9O0hgv9P3yYeZRfpvK
HKoTM/YYgF7cXjkXWvSQvZ3/cKdg+Bl7HX0dQ4MAaTXzVmc+g7pOMqa3dv+G1z25DsbEa6wRbcMW
B5Z0CecRO+LcIdtikiCDl1y4eA8R6nJcNebwOcJzfO1jOPR7EsmdxzJyKrTak21XVINWfo0c3ygX
AUOA2DYqUGV7fmLX+LW95LXPgXaxjqKMK3sr2dFR2wevLxLMgxWgAvQmBZjrbBw+Uq/8iQbRWHe6
+0lbbgwrlVTpxlTWz5yCj4XbzMBqBTbXP7YYhc9ohxJOioq/NuQmtI+aTFtKStP5QKbCu8Qvm+2j
Id32W+boXtb4Fatd3Q8O0dtI5+YBP4S/6MrYsk4XXLQF4zF2wo07drs6IQykh2jC2+5FPCjK49vr
Y1ceDDS47J9ivU4x5y6TLoStrRx+8+n0uxJ2HIlyaXIwp+aGPpY1ZB6KEuU3Kow0TPPHznCnO5O1
GHpIsZ7ngTgl31BFhy7URRqi5xRwoudOZDOL0PmucKYPWzs31ak18uLV6rClWUxlDx6+kWs+GllL
1h22gdVoybUEDNMPNgZ/GYFFaKZkx0Zxr0Ye4Gj2v8rYjHa+ClG8DLbaou3qj5VVWVdziL+Cdoku
SKhpV/04fNo1qdqtHeGOsOennoTPjVUXuFLNuSdPwtJrtytmLGofdbLJWlOtpFVd2Aji3OiVeI1q
BRkkQ96W+PMbwAZzQ3BRs+3TfiTRSXjIQZuTLDG1T97cHOgC410rjfDW18QbeL37Ywq7WG/TRdtq
BsgJkdHb24kR2M3OwgxxZunYLyyb4GLHafg8lmMC4s6YPsNO/M5nhg5ZENrXsmmKN5zinIjoUFfk
CyZoCYH+DI6bF6jQVAy7jIthXqd4xs4JY0m6jixNX+Le7G6excJni3E2GtZAFZKzE+gFFI/7Eo8F
d7JDfG44y+k+6UyAbOqHvT0FNGjVslVLjtrG8MPD4m2Xm9qj8dh6Sz56jSAAmJ8y36a+blZTj8za
7oZ8WcwSOpWMw7Zy6hc6M6qUziZosqolzPt02BU6TzY6s36wfwvPFCKk7VBNrgtFQ6OTwj07qNTB
MxBiotn9PeZp7Lx7qMGKyBx3aSL1oe0674BAsQEKIRKCQ1rzFo/WsGfJwJizq8ea2Y2u1b4rx/Ae
DxOBA7yW/K4sBT1V2mdW0+KJT9WmPrB1/ShCgPRs10rCbWbPQkZR+/MD2SjeH63LIt+zfaEHZOs2
EVkAeM63Z54eZqkv0Wz3V9nXT0aEkJNp3qOaOvdo5x5JLcTOVeeojBjGKdPB1cxapd8tYS0QV6o/
anQRfY0uKxWvkv2vHOnArjPyEHNFzv8Pt6O1FxQK+DqnQ17o7isbkPHg8DBGbxU5ZfLG9/tDWyrd
Y+6wuLrYq2MXEbRtE/b2tP2AKBHjWEkyRPYidprVgodhuMP+ztzYtjT61Sx7F8Ofy0qxEcNZzxP5
XKrsPzst9VOquR9r5QGZjGkMGlmdvdJpCUZ3HS4bdubU/0rHyQ3WGk6/Im3lVUac0Jjkntg17AjT
4h87+lXkTvZrNorkpUVH9osNXPDg9KAnUXPWK/ptaHw+4MSSs1AghJwADBssZK+VUA12/hLaQiqM
jZnJ+scYkLa+msIhw02buIyCqRl+MgOl87CUvEaWKbcIg1IEZmQQs/ifjlVcBujLJts8R0XCq512
LJgMYAdlZ3yGzdT8CGLqjTWWcvPM9JnbZkgd8uMZVtIm2CMZ9KNI8Rk52FqqXr0zGPpM4vkbjlnO
Ne42r9KK82OinJmIZmhiH4L+873TJmud3jT1YWyo0+k1iAVK4ddkPj3LJoKqts2yqXz2dTGvQwSK
164ovC0CxPEwl9mAqFX63U60UWUDDxvRZIykG490op2x1rlc/7XByRhLoD9skONRQTRJJZhiRO10
8A0rYJVhoOxTE9Eztjk8eAab147z6IbIwwCt6iQbivbpKXci+2B1XfSBsUS+qqzL0DqgWmHbYyLm
QCS5h57GfNzIGnFJrUV1bjaFz8Kra9dA4TZV4iAm8iJugqTUDNqHJCtgpkWbzhDWg9mjVO5Ka3Ec
zK4FCMuHFuYqt9z6Xvsnxfy86aqQANg2Rc7QZPjFcGu/eMz214kpgr3Labplv1s8GLn15AwkkhG+
66wsZ/YuulEV/f40fQ+5JC2n9Uf/2Wb5TQSIMwcXMxHFjSVtcCfsenpigb0kW8fl2dAue7XSHE5p
4+l5HSEBXssq9u+2ZsuoZffRModG+dg38yNml2yHkqbZc5Wid4GhcCVW8iYcN3uYqLkOadDKjT36
b6po4k2bEjSDwWxKXxV6nadxmBxiaHo7fYMWwY7A8GfETclQr2s5PzY8EOsyCwdJdJ53bONsHxdj
fHKKhHFk6Pun1HEudZhhRpKFfyANtkQ4HwOcTuqCN2IaT6Dq5meYpMw3Gw8vV+hr84PUcFQfQKTe
DVfe/CZ8DaZ6fIqbCB9zSBcH7ijaFKMTb6CUPcfsCRPUUAeIkLw/QaDPOq2ZvOZTecmqoVmXTYav
2hufSy9hbkAT9RDogiQbmif5WHtBdWDu99Nv6xfb1OcoYmHkG86pVAVLG9OP+gM0W/MDN6S3a/Ni
4X7axStuAQ6ujp00YJLyJCq3h5SRoQmxnWmTCEu95RkfFP7kbkWbjC+5YVFtsnxolyPdUGvljvku
ghd4sIwEWceSO1KYijyZDF8U15e28GhF7GVjvNLPHNNDvqzkpy03R7VjJ2mee2v4XTeCWU8bOYcw
GRnt5awiL5xbYIlbqU/oCWy209H0go96uvhlOB6C3p9vSCzz7ZyEjKQCUd4UxcVt7PSSulzUnxos
WryK+2k4T7DHAFII/487yfBtaHHIYPThrvfTUGW8+bO6sl4K3ssk15s6qZgaxBXkjxISrVM68TEd
nepYxJ71LBI3uaBOZlA+xzmgkVF2T8wGgPHhliPcqS5B9zGIRO4g3DP6Z/tDZOPEeTbjRRWTc+5x
bjRrnU05uq1kAWvYwU9gHPaJQiX6yZCQGiJdRlEEgDwnNOEFjQB5UX73sYyC3s0QVRasW7P7nEPX
emO6kXyiT5uvzDbkFt4OlNMmSH/Hhi1uGmfUcQyr/AXiVbxlLUB7Xxp6hR/UuzumMPdxrxxcgm58
GyLW5+va7vNTF6fZH3wAwx3ROqxHS4dXFSjHQTuRFwe4C/bWID341BdS7lTLXUPzXJpPea7HT8Ys
7iMrKxx2ld9nPPJ40NkY4BLracCNSmf3rDK+07bxd27D/dnn4SmOJlhK0mmukZrEl1MOjBWzBRFW
Vh3EXy8xEAZh2erUbEFhTg3U/sZwm4nHYz4/9g12Eq/ezQ2DDDJLEZAHlvhjAX06o9CpCULAt0Jf
G/bxk0txsGMZF56KivdwbJCUY9TR+Kc8pgVso6wbzu3wlgZBtY0QArzgEbtzu1LzOPTSXL/y0BQe
0dBjnJ3bLJ9e3TGeD7qrWTwZcHlXFmUtpqU+ew/SWjOMNsL4A0QAM7cgT0fGDsy3gdCyFzISI9t5
ADzOreXOX2WduHs/ZnvXdoXEre6wx0sV1xW7vjvTsO7gON6i7ltm7zUUyz+IazROssi5z0rMx0H3
+ZrvjVxGKwlONVZNZhpsYnhV1aqzi5HxSesxV9CuIYi5JASFqNWtV0wXjKa4UGH/pHk37Pog9Heo
yag5o8TYl6xu7i0+bTrm1jmYtrLoqnwxOjSVGmel4TrcFHP5muEhohZs5S7J3eoI/ya8NGnfXO2w
zU6x4OePZoSCKxxHkKNy8ZsDx3gcMA11Wzc3fGPl5Dln0H9DK5amqZXrXTyMIGpyv/rtqCrcTk6Y
f+adXjCmSIZf3Zz9h4P66mkow/RHFrTDBauciRKpRAybAQfkRErL57+KwP9/FsITQ4R+AM32f86m
Wcdf5a8k+mr+kUrzt//y38A07l8IaQYFQDPlw6VZ2Kf/IYYXvmWaxMaDwlsk7//OpTH/4gGLQfJu
+1ICDYUt8B9cmkXBHvhIxpHlQRL8L8nhF+fF34vQFyI+I3Mn4KcwbWJy/lEOTyvvFWaR6r3LEfBa
MI/6UB5bct8K426VBs302RnmN+ve5rffyPLHSGeGuAV//dZux2rrDTSynmMEH5T51WkoUFkKP8l/
Yafv3/+vPGaPVG5VW/3p/tFh8Vd8z9/4R//9/yVXBvfQ4o343z2M/6Ppy/+clPS33+Bfn8nA+4st
HItQBAn9IIDE/+/PZCD+wo1r8+T9zYbxb8+kFfwFmgUSXsdCfo/YH2zevz2TlvsX8m58Qh3AwbpE
DFn/lWcSGfU/PpTcHNgiHJdG0bIwYP01x+LvnBGY3WqdWDFr9yShxOpZ+1291um7jQz7pT+b+jw9
FBjq+hVWUx7UxAeksKk8pDzQw9Oty5D5OMclykthkiO+GqaEv7fsKz+pYgNmhj4541ujaKITUjxE
dE5jmdtmZFx0qRxq4YNBF/+JEi8uN5VI8K6Bi4zY5yMH9bcWf4K3dgQ8JzqcaCuflZipR/YwDFe+
61ln2TYE1EqqDR7KfFNakc/tNQbjc4D9ZFlUQ3JeW5OprYOa0mbfEJ5HPuvApueJnfcQruy6JiBb
O7yOJTfjM7zBOlxlavDslUhHikRlqDaBT1mYf+LErOatihhO04Eb9q2MQzvfB4jaPthiW8Rg+aH+
yUa/e6rRYi25lOWiS6ixe8nGHr7itJ2OWGYKuoDaTT5tAq4PTWhDhhwr04RY4TYo+i33KAS7JMl2
310xJ7PclSTS+aVzLf1BK+ZDaZgtri3LrJKD5XtIufElZLC5dVo42xpt3qNViPFxnGbjLBHw7dVs
J/MFfUov7hb2YppMW6toZwe1DN6HrlRHreJWbPPAxMs2o5hXez0JBuUrZKxNclRt65hXf/lcMoZG
sg12KWnR/ktLiPYCvKToCDH7f1gtQXytBr2jovjYd/HSMdbjlt/GPsvAxhSR+YW+CqLWKeq9eBDX
yPOjYfG04zIdU7URYck2szenG9uePwA7cMpkcFJGpqvHyoChD2kbna0SFonmHJiDDucLAMN4VciE
QmG2u12SCc3ozEFeR2cxklQa9N4d/PxxrA1Rrz0jDE5G3hdbOw3vsDuji8yHdwuhEfHOZMXwfBB7
6PwSRXGE2HIcp6jcG7lZLAkY1npJet1KMOePkSXLk8tjcyvYFR3daTHtSJuPTil/X9gFCvCqPvUu
kUyRYaMVszNYWv4jTLX2kYkWSXZDoR5wA3h8q3b8y0aLufftsnhPOqe8DDJzDv2wRM0HlV4ZQdwz
RW4RI/o16J28r25eY1eXpkQhbjOV387kkCwZeGb4GuXTPeuYAukOlbvuGZ8rz2tOtRtDZQoqqCKT
NLDSpt+VSOVdgc0AK8kE0kOjs3PD3N7aJfI6AQhmNeDoSUTXPypSdLAIxPCoF0XNSx7XT0PdkP9l
ztgGSeEGzxp31zDOW1iOukOdQAidU0ATcKz9oJp1pIcbKFuGEJ5BI1D/7nusIaPoQDER4p2j51uX
SE2vHWrLDxaIZAvyKyQAZeUHILiaw0i+2APPP23+yinCX7mI9wJL5hM8QvM3bmWe9GrxRXs9YwyX
fnNhwtGi//HK7twTM8Nm3eCbr9kLGQUyLgRXC+kLxg3zoganbW6sZALddtYVqoDYwNLdFjnjWUxj
o+cxeNfO/GHwc+/SNJzhg9pqL2U6Pvq4Y5eh+3gnhfXu4oM5IYXyKLfzASgK1CTfnrAqSyZITZu0
WzTGjO2Y6bE4zXp7owusaLHArUtlOfTMBi1prm0EhzihFesLM7T0W5J21UrLkK1MkNVbl5XYNogd
52enmj+1wjxj9r46TW4odzGmGTSIhJe52VA8MV52V1HXWidm/Nl3hQdiZ7KY5w8/OiVmWzMiwhT7
LE8CJyGlCvZSrfz3MbCiX3U2ENj6d7fq0/+MtHKdf/Lt+bjUzCX3yvRMi6JOLtynv7udkLFA64pN
tMNWywY+FGPhbrqk0teWJO7XsepszriK/OVRqrlY0UCWL6UyNIzpXPyi/QjSB1j0QmyzziHpyXKR
WzXLt0/EseCaGrFX1Gu8O0z7icEpsPb5Ij46feGP18nOmwbk/zy+ta7MbtozoWsAwXcH54yw33+c
6bieYj/miGIi3q7wwclu3Vld+21Ia8FXxu571mq8TmWmifX0DBpbk6EJ6dieOz4GYdYex9HTe6AN
5XmOjGmXx4R0z3KYDuQTBadAEzHgW6xdIXuQKRCE3VuQGvXGHVkqNj1xAyhHmBGgIbeI6nHSnTdx
b3V0xKuK9MW1OwazPvhuY7ByYowz5HskRSx+Jt8cDo2pneLBs1HawpZAaNIPxm/f8/SpbS37mEcV
zWBjm8Yty1y05FWHIEu38qmVcXRXo0bC2EBZTWpnJcq5Jyk3FdUVaqKDx8fwrw5WxvfSqOVmkD58
AZQQO8aSKExNYmVqM+52MvLvMerIdev8KFN9HoLuq+rEvo/R+qBpsi91+j0MzS0whP8AUkiAdJub
DdLs9habWYDJiA+OeoPNnwmgoxpt41DCTPwCakrSbU7eQ+/hcjTKG/17comhW6BwkS7a7PjggbA/
cq2gF+7c/A2ZCqoA0DPqOLMSQv9Qt8MWjYSxCgoU/amGkWNa9fc0xgAFGptU9zkoD4Jn86rote9J
5Pz0CHS6VTFvHllf/aXt2FTvDD9u4SmAtWUN3gs7OpUDzs9fubbrD6T+kMT9zAtscCIDo0H0PxaH
suNM70i7Rb8JAFB9adLMPrsQFu3dCRd3nq49Ra9A+MOnkFF8YcssLwio3W+glt4ShE7mQuRI4xsg
bov9DgbOuhSdsw8ME6hI7CHxLFL3LqXR/WR9GawyKyjuFsiCeOsRY7N3cn9Y57jKHr0pbh77qg8G
Em3K6IdT+NHNtDtkSCnnjVIj93zPoNi1p4Rds+G/qAwUpJ1I94uqlr0VAUyROIymyk/JqAyLb1PE
JlYYI7uNJQKnNfg/mWzNBkwPmNglQRAwxNhuOexqtcumqWbmrl3yJSGcqTUa5OhSdFHAx2mlXPse
Yb/k7KibrtLinavF/t0zfTxQenUWR2TF+AwtO4Lz1GIc4/flodbBzOnnJwBtGL6Xb65DsnWmM3mp
7GK4RQxoPnq0wS9JYQPkbsLohsiYkkeaTXnnx8hexDzz7aqEq2lmgXpy/XE4x8oGLen4rfcQZ8j1
luWfs3XDqt1ajfWpyZM/xZ4gY9rUWcqQIfE+dDj+GereMNcQGwd0j+XO0glXF74iYESZnn40UjNj
CifC41Zt6RdfrRkPdwH76iOckHvxjQ4hUMnW8nGkeAMRUn4hf8yZMjdcSsan2yXpLRFh8FW3anoR
9sJGdxFjEnRgof+jCncOdmqyG2S0yixwAelBvZzdn2yqoSkYPbggSarAtHX6rOdexXgyru2p0z9M
vzEuo1kXuCTDVAYrqwyzs2Gn6tHuvZFhlTX8MouGdGaza/13OKfN0gZbhjxXmRXRaVhm9GH1IwS1
vJ6SYl0bDfkxHZfFJ4Dy4u6MfsbIMZTE/JLs6Lfs8TetHZbBmvUOlqVxCNoTh17bb0w9TIjoQ4V1
EeeJ9aPzap0dWAnF35rNYrhG1zM81uncrZQVFgSwZ147n31qbFPUWXTWE8fLTo6d9yuKO/EQJm5/
ilMkNnvSO+a3Dh5avRWdaA8OHt/XsnXip84t/e9qEt19gELFQolHkuaJoSwPQcRLWFQpdHuMwcpe
M713H+ahFscEoRn9z1SMwDy6qMhXDC6ip84J5pfOTIyrxpnONtRkM4jKNzf+oGFglNsWUDlwDZvO
ZQ4SNmmgjYZHaEWgXmC4fcOx1+2OR1791l2UHQUCxGxdEcfzUU5sU3YZ4oNjT7/xx0oGVILQ4NUW
qTD8HZV4E3iyIQPokWbqTZAJOa6Nciq2xG2xBVgUAdsAd31MddCikAaE0p3bJg2uDEaDG59PeRk7
QdXpts1noUax9VkflxswklaN2UVB7QBeplYFVolmHRoYgkU0TsfGNpgmY2sYN2xMcDekXsXzmIL/
vNp2nVz7xIoOypCtD1YrYlxaAjJCi4NsHbFY1llrZCnQs9EwBbiI2R6tnMp7xaagv+ljcNyBoEJ4
qUoNSaUIk+bS6EmDI+9IqtfN+MFw6Y6DVL0Ug1LJtich7dpjlqqehmyKD8NsOV/ubHj8ks67C6L2
6aiY2G/ryWo/eiXbPxNG42IDf9a/V+ZU3Gc7jd40zD7wdgMOqaJBDraePT9m6yzKbEchbDxGVYBD
ESk27k843NgRJDibwbVOupRdc8qS3Ez3QW8MtNqNP17AujRX5G7EnMZqviFSnlaAM1voaYP/6Qlz
ujeUW9NGTEZ4pFVyo52YZH4sqTeRmytdbOaep3NtWbryrkoAS9yYDD7Wsz/ovalG+TUgRTv2yqwu
plhQYIHHitBu7DGgnwS0vI0x0rE9UMb0ZDQwltG3jD89GXW/ohpizqpP/aJhlDosFSvnxBft7EDE
e9mBlnFcZBylYTGAcEaAgVDM36IRid2KjxioXBDUKb10HY/tphiyRb3Di63X0TDLjeGhvE/nvnux
nTwVGzucKkqzXJbRPjIQrRCUpR599oZ7ok4kJL1++sAjG2bXwihQ7AXNcm7WiYlnifNcnlU3dcVT
zYIAtR6dcLKflK2pLzzUZWDP6i3QO6vaStxtPMx5gOZMddHPuVl0hb6PzcNX0wykr4gy9nKN3yA3
zNm2yzHU+jTmgxEdfdhe8RbypP5RB5RtJnLt14ldyG8nG/2jaQTluwNZ8S0oh57FtmWO+9E0BP5P
sPOuO/VHjbAR40vZ/8nEqOmICZfE41SU+bRWuCs2YABb1CqOgW6uUhtCLOjjsPFuCgscJXiFLAM2
6Tk/bRKF+5Ub1M7LHAjyEdlHrCIIbx7YsZ3OCTQo22C+D5M2LznTmQ2cWATzMLD1OmFrf2shbPys
5ppUYadR99yEXbyJWpTjfdUZ9IudTG4zQykQCXH+bgfGcMkze3qpaq880jq2kFuNyrwmHjmEQVmH
j21uOqeBF/5Fd5T+jZHrQ+RhK9TJVP5hA11eHatxwO0SxSRS+ySSVh4nEXYf7LHtc+GK+ezNMKNi
R/ZHMowhfnSy3FsZiHDPuVOTN8+jN6kzjkpS0npZHTI3cT9NvrnvUKYRxk3YhQM8ok04i+yh7svk
qfUw0ALlRZZVYAYcLeYMbWhFf3w7fg2JRsRQXG/xdEuyCNkWVfSZW83+6aGru0+An+VeZS3O1Tho
8KGqbEP+EeXp7L8jzQN3FNfj0WmTn8IjP4FpRQa5Iq1XnXSoB6z+ZMVhcnCjLj+HPshv0iiSdSSm
HLLgWD7ONoofKHfNwmxqD8R8dQeSbryN0fnpjj9Pu/MSvE2kNYIhC/4V3QPhHoLO/6KN+2cODF0c
o3WTebwtbBxa7tLl/V0XZ3D8liMHyRG7kkXZuVRpvqyiCzZ8e1w7PEJYHlxPoGGUqJU17MkRiu30
f/pB/pkMz0/i4YsgLttdsvCk/08J3k0fqqlgGXTUjbtPh7b7JkBgnJ/rwQ7aq++Xwn3K8NeQtzAX
420AwtAgQU47hCsD73dsD2/jZLHCHbTVRLsiDZifydgp1JeLbMHe4DZ33lVn5U9ED/HJuzL/8MG9
MJZYBnLgscQ39qCyZA8aq3fGH8Zu6jp5t4bR+NnE/0LdefVYspzZ9b/oWXkRaSPjQQ9zvClzypuX
RJnu9D7S/nqtLHJmLikNMRQkQAMQBAiiq6uPyfhif3uvHTB4d374xH6uk6zKwvhVx7ZDZ1zvXCsR
Iwr4vXjxm5APShyNd5jDE3+DEqvICYj07ES62dhTiYsTfPPtgF9xrf1G3+MdmM40sNrXXUYiG8E2
29lj9mrZpbiD+HuSg+nj7Ea0lIt8Wf0omfRn84Q0aMWNtkiu7j2gVGRPwkVIoNK1xO/qRxi1nFp+
S98j7eSyIJ/D2XzxbFHX+NKZ8lfZMrCP2u2sTRj6McB0lpgqsvmcZj/Tvfkz6QOSYOoff24AcZ9O
X27R8OwUvX+b/NwTTF3ah2DkRNNtDa7Q/rlOoCZ5HxQ9LaY45R+NwHoKYU4fq7EJyVfwwqfzRFQw
UYsJeLmzQHDj+uIvN5l8udN4y+3GX+45QTTqaOvPnM9JSSaErDs3ouVu5C+3pIh8yaYhE7C36gaN
clFE1zxNjM/s55I1LvetZLl5qeUOZi23sQlA3FuN939ao+VwXatUZM0Pntumby5Rjw9XzgLo9qTt
8YXydF4kt8zcGz1zv9wPDh4M/khdvTZB5RXfJJggLkduF/7WNuXul38su1j/S3k1cotkK2G5wM4c
1mbLJutPX9iO7X9vRxwnWIDM68rAal0OMOvbhpxWkQv/WPsNW10M+uxFm/LWZxd6hY0XapDhDePJ
02GNmjYb4QYFoKiWSP9wz60HM6+DTvra5D3MxTC26wcHwA6A4MRBA6QfwZPjLdbn2yEb4Fnmg9lf
mX6uCVPbY/BFO6a98+LKI4dVp3eWIhRbj15yAoP1UNkRhY/BRWWjeRUGIWBKGxO6CB/4jts3Ip+v
uZiptWfgneKJJ/CMoNdhDG1q3ztEeL76lfYYUDk7xKGvZHbBKS0udmnSeFg6bvhIQV+xD/tEbUGz
GFjI7BJcPNe29oaHS33xm3bctUwyeuOiLQ+QAAD9b90xS0/Y9XPCDiYAYS7gVfENuIf6oNTHc5S5
+mKpvn3GFRZsSjsh6OnO2UbVY4/rKpPBW8RW4W10JyycQ142O2w+0T7OQXdy6jqSnQW4Crzj4aHw
Xb5yjjd4/Psaqp+XnoVvIPuK46sTwZ6bcBFvxlbBy4+shjiU7Hp18EQT3AU9VMDcdIK9liH8T/gL
9yPKCEpB7OPUc/tTlvjDGkuqeYO0OPOpZOjMEjWeqRI13lVBwJEfp2nR8Yv7NIbsi85b1U+CeDxs
Pttf9YNGM2OTE+28ruNIm90eclOt37BLxo9G1FrPdUJFJKkqEa3LvubRNA7JHXAroEBwJc4uTymi
ZlJvS3YN2yGM5EVGZvJUCEyLqzRSixuRV+YU2wKIbq49CDrpLPaejATfa5XYsFLKB6WGino0BArv
5ySiAs+584wmvB7mcXHqNqLDg2cX2r/g5YJIXS1LJPNnn2TqhQEb/OyZxLJyalB1cZ1VyyYqaDO2
UiqeknTrFdan+bO1UuyvrJ9NVguvbEcEUj5nP5uuwjIMFx4lLCfKce3Fy+Wl1VuIuhcfbMj34c1c
VabYLufYt9MNIwSr0fIxWSzbtmSp/SEOOvLf3AxsjOY4VQjUzsl2wMtwpHtOM1fXDpfrDgdrt9Iq
SZND4nt4gCcEDHfTxGZ5tomlxof6R9MdF3k3dc3XGqOjv9LhY6ri17hZviBWwmZIxjB8Z3qOeyV3
lVl2y2/d7lwWrecxYkXUGqV7qNKp/fjHD6qFH/enhbov4LywzrccR3i2aTvLbvNPjymBMp8iicqj
Ct2bUN2SgLqq+v8Dv8V/bsv9WOb85+8X4X8DIvz/gzxoK4uX6j82W8BP/Wj+3P7zlz/wl3227/9h
C9tFkqcqmdd/8Uv8xWPh23+QdqD/bil0s10skv9msrDkH4wCEhYg+TjP8tS/Iwct5w/+xFL+s+Ct
uXz+U8xBrBl/+6FwLOHTf7uMdyzX+ZF/96Go6dNqwYLZwI1N5zEJaRnrpqg4jWTgNmR6O9ZN+VuU
MkHwzfHfYpnntE+5lAMwndTOvsAKch2VTvqSRFEM1mpmsa0KGdCeqSPy21bDyi1uPI+amwGT8FBk
3lWQEndfpZqMZoosuecEmF+U7ZXg36V+ieDwEvShNuDWk9yIMUwykVOOsXbqMt0RnUZ4bHrrvmuH
+uy0RXmazBavJlncY9hPy2UdYQy352w550q3yTnJlE2NF5vBxzSmDOdI0ZhxFgl/0RrsJypj5PUe
o0kePI1lUu9z13DPnir79zquyA8khp/G61pO8XPAIuApcKeBfJUd8rNtcMikbBJS82E2W98qDLIM
NFVenjjgwh1AxfRmtpLGWSVtF1/ha5HoV6VioV3KHDnes5s7o6IueZWTarpTMc2IfS4L0K0OCpIg
UwRntndzfJV66n4TYjLu2bAFNG7HwfBBjy+70sjAHw5RZKrpj0mhINYoKNUukGzM12EEXaOdp+no
4ZvcdRMZaogCGE4hgNgkb2R5Zbute0xME3d/TnfKLsfXf7A6l1zcaP+O9IIY8yLWXADlnOaQGCmO
5VKxJVuPWvDuRp2yUEJ9fPotTkVSFYWkQlDQISBN+QBpTe56226+J53FMa9G0O07ABtfFTfwN1P3
3gnfNd00QMjvIINYT4NTNNepmyYuhjjWnTsX9LqxHQlmkyZHEiJbk3juCUvzdCAppLBbFtUWmCRL
cgCr+WnqKZxE7htOrtbibnYreUbPHbamB2EKDSl7zAtXP1CPHA2H0iK5HM8GyBzfcoW1SlxiIpQ/
RrcVNKp4JVNfX7uNb1+5NQl3YS66SxCAC6H+CXGchS8naeOR/zENhVU07AbWkKofrwK4njl1u+9Q
jtOTkTrOm8SpfJbGlLEobCxeptJUNw2cWIEIVUBHq/oaNbxo/Qq0HossSoFK4AA7MxgINvntbB9b
FtoYR73W2sYTWx9aQGYKqJOtGKj4Y5R4x68RwPAs8w1RJeO5dpoRQbU8CaaynewopHMn51an5Bhx
ZO1yRUIuaJwXOh23eWe1u7KUaMmzjK6ojhnIbtRfILjqG1rlHuqm+q3iNlgH+Bfo1QBoXoFbm53h
NodJKIGerE06CsgeeURgvS6/DVx4HGtPEl/YDZZF9UONd4Xpb5zIUbTznmlB6pWT4K9tgGxjfiE1
5+QRVJxZ51dkjLwtX8P+qVBOcW2IiLYpcEoUKeuuu2N2CcJVyBXeX83CoO6JRaH/joaWErbwtUFU
j7qGL3KNQmx4mqDIl2LWXLTnMYr2dseLQ5I1Y71IyoVfkj/kCsbXUMMPYj9lwD5CwcZsKtPv2C5Q
aUwKNH2Qonws9Lg3c9fZi94RW8R282hCkV/3A7CoPITatwrnIHiSvLTrTveIsPS173zAH7Taku6J
kd/IdBWJ7nZTkszXJBXEg58087uPBm2vrLjpz7llAYORQXoJLD/YUUgQ/65gJ2iCm9yTCA6KaTfg
aN5COwUaPVu4PAq77964rArmFQ+5nPaU+EALSY3MlIbAlFppXTeeQAtncDmAqGleHW6yfBwmEALB
wDW+KjXM46J/EJnZvGIESU8yr6d6YyUkTNuuJilHsvxC2zWGExvf8mdIPhKTszrMoXvGOzxdaZFm
r40VtrjjR5xUqfHQVX0K5dRndYzEfuu1Yr5FJsv3flHYl7q4qmJ9zPt+uggNShawbf+klN3vWqQR
wPWjZAGZVsaNaAtRnW0+TbdD1WR4D3jCr9NOmSdnyN6Y7PWbNNL0uY678pqXOb3DwOC84xjxUugl
YgQbAHeBKnqgBlE/OaxVw7mF1gKYjrI8grlQRkDtzMW8GQLul47qzhnumXU0926NW2o+N0bPJkll
vHXzkGbsW/P5IZg1ZcZ4n9IXH6AiSuiob/PIsU8yy2eSgbTxrVsvoborjSAQ9WwGVzldeA+ZE/Ip
W/5uGcf2RRextQO8Oh0ss/K+zCHCKhmEPPoIvU5ru8iKjq6KUY8cpIVxJUnSLKCDbN8PHPdVU+9M
SLM7wsTDfaTahd1uhCVmLLZELMDDfeBE1ToOguwFhXR+AtxmXc026ISVCXbsVDnEVdZFZJvHUNjf
AMTSjTCH9NON/DrdzpAcnkYi5CHxAiUK7maNvBorP7mmX23yVy3PVgA7HxRsxXyM0+QmcZrw1iZf
QJh9DiCGU42Rvg88T/EVRcI2tlNYlHd4kk19HOp4fizpXCQPVebdSbSN99wyhD+NifnddIDb9nHQ
GmRyCGFK1Ya/ZKfDXeEt5TGTRXJsah12GGjwI6Zm23omAjM8IiUNHywEYx66Vk9xNXJ04axk4lZP
ckqyX5mdwc61S+hREeT5KtfmG3styzs0CUEsXWPZGnmIjrTQY7Mnaj4TeXpVQfi5kHz4atG8B7Fo
m1ugXVCyDwUbcKw/ZH+TcjhNdXBDEr7GHQFlycd1RBiEeoyHtOFLcuhU7J5xUHkPeCSAkbWdtU8K
pWElU87DYj1tP6skv4EgxhuF7na0IKjva9jI1qpujGSTxQm2P9ca7sKAzzQtghytObi+ijPlqaTT
b2eCQFqj7zUXqgTGp7SaDQpHlLtKs4IighZjkyxd4xEM0XZ0pnjVCMu/G1o3v2mg5KxiO05ezGmy
jn2Td1t8JtV3wRpsPxDc34aMW4dRFurVs/GzBaZXfvetRTtrO7PVHTxvemgWxBY0bAYTqz04oYiu
orKDWNpHNXdmVo0j8ZjfcjZoqQ7c24rOkXNucNwXVm1+TsX0k6LGLbwee6wXq6k34nOWB6HDJImL
KQjEcDUTu+RmnxveDXQQHiREXT7zvrG2g9H6ZxwMek+DYXzxJuYok76tndSYvOZEVtcgmjHdUyay
NgMMh3U7fufe3F7iqr7pfFuzha5aVggG44COU/AUpKSAXaQrrGRXDJ3xJlGFc5v1FiSpisd6KQyH
YH+6FzK+mnT0qZzpuzLVLUyedpeXuhz4BsfyvqwqwDl1JcxdVBtnnokUqcOCiR7zmufqqpxGOp8E
rfGMEapGxff0sAORbNz7rGnE21DNvjz1rB/2rL4V732ZOb8Zsspu77I5fOaQom+L9eMv6Q5hfZpz
jBpLNYH67jvfpAa+4TRqnR54S+bKjTN387VojevUTJA9O/wwSAYRu/4WDkoTK6a5hadDI1M8rcvQ
pA9qgCnwmKVmeMhbTZgkA5M46ORsu5V3wxNBb10ct1deaPXN0ukVv1b8iSsrN8BkM2fON432CV1V
opZvGZP1Q9lYzRXfV7dj9tLTrqmn/i41aip5JgkggbJqAiuogrO1xQ8i0NvwjwMXKLKHGfw06Cxg
vG+E/PMru0X9WC/1QTd2yYSSpjU7VIbV3FpFoVdeUlC73rrN28DD/DJQg55SYDhvw1mUBnStKnqh
LMU8NxX1GKtIOMYpxKDkA4w+lpg0blglUGWm2/za6j1554fCoZNG2oThEXOg5U2x+RlWnQ+AMpVv
BP27o+8rMqzE0EGQ5WGURoQng26EDujbalOwZwUcQVwZvu6AxRTLg8a010zbEY/SSurS3zk1PhZY
mHRRViQXDUJY6ykJmj1PrQ8SJhp4ekfLAduYfebDPxxjvY+s8GLV7u/a7MNDUJTGEekW6ighQVFF
LGzim7lkm9l7Vb7J0HkfxNAYJFIbeH0urt5UYDzInHRvLFcM5HVKRdCChnJXlMyG/CYnEO6/6abI
NrRBHSxvxF2WMnBzRU7Zhypjo8qIDc8AJykKH3UEBsHMwieDsQNfSw+bI9G33M4LNkb+tW219SaH
rIYHcdxxGfk0AvsqdZMNy27WfirmbBDhuy6tcwiKY+W2DbugTnqbeainVVpG+ihT6k0WWXXlesG8
CeLcBhcLiSwljLWJe9C9HpUQ64GuxzyzNiIbP9h4w4iKDprM+qZ0itu5k+llsPNy60ViBng+O3tq
8xRBSXyhwzA1bFUp56Xvow3vg8pP906AiTqs+25bi64jdxwvUaQKYPsMT5uh1Jj6/Wi6kCsD1wzW
foZfjkBeh7ol6Yy98sB5xCAseX39Bh9zOmK/nG2nPziGDJ470+pe26Qg4xpFGReWRIMDGttJVtQH
9f0dS/I82nphxf7fyccPIuHBufXmwcV5Xa0YaNzXcKggIWvDVSCxZy44J2Gb8b1XhZgcMMbMh2oU
lJWkSryE9OM9YIqsaO1pHE/sjTRrTxJBkhnUp6AULmP14jj6wZ74KArtP2qdumceMKxY6TQ9jFn9
ATKd9iWU2q0eKUXHTbxF4Ot/WVMX0UVDE+1N2Nl0lsxBQaeQqLK3yfe99WhNi8utCfp3vlnxOnar
GNtEHu1zb/QotOeopmSmO1qRCqF5WeNB03WOez4y1Ta2mupshjzzeQqJ4Tl00+ytzFS8jz3dFdtc
tvLJZ3BxsEvn2QgLF+X/R1P6vx1k+s9pb/+FEibSIXFqUXtp2SzALMu2SXf8x2Lc1cf3Rxr9WY37
3/6Av4pz4g+b/CTLDvoXbJtG1H8V56T1B9ETsQhtLD5Z7fybNmfLP4SUvvvXxm5f/rs2Z1soetLH
ek4yCs3Pkf9M2MR3/zYBZSAXSofVEj/mb4RasHdlaqY6OmSDzLlXenibCEOEC+soZ/tjq4ID3Sj8
fWc37UlomoJK9qNkSTyd3PB4wYUM1cal23jMmmcakrFTKn96Zi5cChDJpFS7Js0ZFLATqvu8Sto7
mQpnRErJiRPbcsbkREw4NJp11ZvBtqUoqiSbzhH42fu9UR37snSuW8slvDeawwfZwOKzilK33TYO
DLcyX9hLsxsvS5S+9cRhmDzvvZnSsFzZpRqp1hZawG3Nsr4+0hNFbxZcBScBF2Mm9QmVPb4bK+mG
AD+a+tGFTPPQ+Uh7Xtr1THUspd8siNsXOCUUIY29lfYY5+csw/pHc8TKdiPxVoPltdnmG+wdVarl
PYMRk6Gb2P1X4hrjScF8P9HAHN4j+BXb2o+tBwsYOXnexr3kRpTfyzz19pTmqoOT0QLbi7HA2eXJ
4Ao4ib2ZSogKduiNGwuPsb/rO2beVWh10Zca2I4ejKyN1DazvJ4dWzrM54oY+u8h6McHUYfzLzYY
Of3awFjeZit1blUH9wFHEGfyOkfhepLOYszqulxfokqJGzSBERICbQnuqiMLsE+zOBwBH/TDkzQ9
BB4Vo4h4gxRPuGapzVAeSextTAbjQqDY+mRNW++bGX+xaRFuWI2C+zoliVj8sbIDYsgrICs8xvRV
UpBSX9V2Uxwkef726OQ1OKHULPR77qRGs3GZaH6FeTA+gi4ahlVLcYXJzGv4YG+YXhgzQIqHZZEx
7SjH2qd10qpbV3W45fRE0RcGRLo4VpORlTF7JDwqEADqEl4YtiZkSDq8fhWJHTibKKvdYF1xcs1b
r7Yyk0OPhkvU6KZ6x0MavWI0BnSSY3G5zYmw9OzN8F/zYmT5cHDhZmswP83YrWNmXF6/HtP1mg1i
QcLenaJ718SDzKvvha+A64LfMNsYZpvMCn6BxdcHP6k786vC2JKvosYz4ZLlwcxHanR1uZONHeFx
yyzzqlMR1XgowSDch6HFBBqNkLaxwGxEnPO/W6s1rrgelOm27zr17pTznFx01C9MhhGLdTJM+RPO
KOebxWv8NoZpsCT+aTFkhiFJYdLeuksEQiJ2X/DPVSSjcukDlQL4o+fhMirqzF+LMtXmulcICJMS
U0XQfqIZoG88CyqQwlcIHhsj+qjlHdu79kijcosfLu/GByNT7Sf0vvYlIVtw44zzvHM7ABpcf0fP
Z3BT/R2EjPaFcZ4UujvQUzubNTtCKTzGTpruWM8FUJctpUEglpED5gOLFRm3khZSaErVy8RUQwlj
SpEWrXqssoFIlke8LyPOpMCeVy6fymGViQH+WeT2VMAn0tt6bdl/qTkba3bQnVRr2rX1NUjc6d6D
BODvyqCsAtrYpnFfh1yDsfuKoyRzXaws3sa3RqXzN/ZLaD8Wctm1yMk5dzIKr1FEQH1ZpSPvh7yK
H4BNdoD1KSM5isGbDw4VzvcxfuVbiP0embKhoLS87IrXsozktic/vaNGnvQZM3kMfCCcd0k6ZPhp
VRVvDS26Yj07fvJexEN5m2RwOds6XDat43jsgmb+RqIvKbKIaJDBwlzakpXrMqB1aUUAyRnC6q0q
qxSPYmgN9HIigK7JQHBX8oV+4t3B0yim0CThD0W+z7AqngzcvDSd+q1NkZGflIy0RoePv7UH2nWz
pPzMXNt71E7Hh5DZU1kEWurk3aSq7NXFag72s24It1mdo92dw4aFhXOaLMKqxJ28typRPbeJmaT3
ll9SxQdWh4cOd5t6Yxv005yjZKL6veflxxMTa4MJscJufLCygSL0RhCWuK3qqrkO4UjA8SnUlFJH
ZKGL1zL7HKMw+h0ZTbmpWhE/IpsDY1GZzXEjM+jMCegsmmfDUm4hbZNEC4F0HGCcdJhbyno8OeCE
uZhOQXaCoQVQyu2zHPcr1+sbKAJ9uzFDcCC9H4yXgRTQvDHgzO17Ik9HUwcd0Osuc9ZYo9xxR0go
ubIbciRrq9T2QWCrIMl1S2XCHALubctqhQ9yvoIgwp6fUpIl0OIIqO1ennzKOi22eC3PA/UT3Sqh
ewqXBL/hXVXK9sXO/IEQBhMHdg/tYlxPBUWA5UAKIdSyPPG1ccsXVEDGW0e3By65e91mCImTSf7e
b9RZe7BQcCAvfrsCak8E0gdvetLgm0O1X2TteS54DuFybMx7+mnvLLNUK2xE8zctVQUHdawfsyJD
EJnLcT2BYlk7FCXdc/PsqfXM4j3CuH2ylfchGwpqsMNmh3mwwwPRnvbJHl2b7CKtBjSKo1Fpn3hB
HaugX5dZry6dadq7FILPuLh5qxMGRO4PU9wdAmUSlbPjuCHgGScj+iNASKjxYqP6IL3OXB7k24QM
BCxHyGXTGm2Q+7H2TIzaUW+Y+zaZVLKa4zo9zvB077HOZGS2KHLHq56cuQY65y5a7k1x1bWvGOHV
pnUL/8ubKH6h18Op6dnJ6ITOhTwkWoM4d6ogWFmjwaaPDwzGBbO4qxMFVZRMjbPNU3BCwtXVkyho
qho63v6Sy+BrHqUyx++YzqwiaRVASE3kTUFC6gsAkEvKd7lLeo2u3nWj3PWsa/1YW237Rf6julDB
C8CkSSZ/Te19eNO6LRlGssX7gWYHAr1AAjUzlyXf89lOkFkW25jn4L5cuUMe/gqiOrrNA8O+SroK
OA6F3ezvhkqbHKBl1731ziQJztf+g+HY/cLxCsI3WMQRXum4H98NerXeydcBd0p0Mj5XKvH2EVHK
W4Xp4KTGIf3N79tcsMNOn2rusDjN1USEZ4wbyo37xtePahpyus5aohkbO4yxu3juNCF/wByRkzs8
z44Hxbku8g/W44waVZsuxv42GFgsAPvHmFnb4Z63argyqeri6RAHzV3c2KimZeWBANVzxpPKoj44
21ZdRAeATIyu3HfEbYNjBcARr5UaPVR50lE3bVU5L5Yc4FITn0qnXdzn1DeMjY8KzfXPP8ehnPM1
EaUW7OWA85hQkpipSLZqT62DaWjeBh03CY6QSJTreM6C65jVP5s17UVHPiFqXtOGpj9w3nCoDa5v
3mNj5/Vv/c5hQ5Un3cGiAvrZof/svqozIiUN96H7hHK4TY/usjZwDZxjVg9kgDvxKzZrn/iC2xbW
lnOXfShQNPjQqd+4DxOcpoh9ICMBQlsbIbvGXJ+pGuAKcyFM3Qe7oacMRWZWWaJuOXC6SNv4GFs5
KvprK24JdfMuUOg64gTce6b277PMghk4U20+s/hFM0woBXNhvRrmk3KN6SP2DfHt+1lHi8Uwc5Kn
TaM7hlV6jlZ1V7NayZKk2mYtCNTIycLfQFKhqc1IEZOCXL9jxiSc6PjxdpZlc9f5RbtpJJ0nJltQ
FhZMbcnGGU2LrKbv85zqUh9FrA0+1FBb94IO6WjL1KuMdZMrN4NG6NG6GoTkPggtz8xo+HzUzD+c
Or263BlBMW4bafM1cTiXN3yyO3NbJ6L8sPERWhd4j9k26LGG8b/GSykyoHtFVQ7WSlQNNTB8qiyW
OnV0oYLGOdqpT8JY5BiTJo/FNzcgqwY3Zw/YJiU/MnxK2HWizzd29VwN0m83tQqy32UWW/eNnSFq
gjP3Nhkrlo2RGPNGdiNvMoy4g7YbICyBXYXQhZkAVyDpxSYstN52M6UmQRWn7spFavmIMqM5pwSO
GPCJWlH9a6rfkyODaR8YuRyv4WAajwRk+SkE7dxjCLh4qdJACt1jlgxOJZ/pr2lZ6jKrmCGVxeij
LHJjdfaXovKKNR6hsrG094JVxLqHnLeTnCHbsEFN9X6Kz4ulAx0wX7IyBL3oqiSA0E1td80v7Zyw
eYhX5oDF26eKXfpTr+7qjAXswBpopfo6I8Cy6PRJ2t2XTreUE/zUtlNxA09t6XIH65uBOlcwa1yS
5+eFIb1lggu2ZFg/mVPVXvCd3ILibdnVqfAdH5/+nBaXDRZXM4DhTLN82JbyDjMuKFNuBwn4LDro
QfgBO1h66Wm9u0yEmd5MkUV3EGD5XlosMsjvu+PJr/vh4FRZePY8Gu+BgscnP8pUBDszdqnDFNZL
3czI6Dg/vWVCz4kVCxGHK4lJn24WFiNfigjfp8sj5hAzlm5TvjjtNaaZjg+RzeW46fEfwvaihiO0
5+xYgg1iX0wT3GMZMvEywnkX0g3OgzOXNiGW1riUZDO3A76BaRWyiH+sjQqaHk9eAP2h72/l2EeP
fPVwTXrWzKMtoAHIVyEO4RZrIkHtQuQ3BamNE20DZEAdCzmy9hGosR2I9No1bLKCdCXcxNY8+qug
SJLbJqvpn3RFbmwigUmdpefUbgKWOg+TlS382a6/KCN0v/jumlSzNepX3UaUcqkkyFdAGyJjZQyO
+WKRcrrOzDQ5urWXXEsh2GqKHi0j1zyvqOCzsOixWjiy9Iw2XZHneyLK+EOUMbL/ohWSLP54NjL+
sankh6wCgy55XvHS27qZ3b00HHXUog11tiO6w88UOnsIrAwZMurwjE4de6gVCRpvV6cJGWjbgplf
GqZJ3nIAqEk/a/FokrnaeeTqL6Vj/ZZcBjmVySq0G4wW+mpyRvm8HJ/bPk0xe0LqHZ6x5ka8l3ON
NN/1pf4m1DGt/zuX84w2Lzs72EACVjprxnEjvAQb4jxF7u3MkdJtMpWAUft/IjX+FxIRFyntH6mG
/9K2H/mfRcO//IG/Imm8P3jDLRBJeEY9qZYe4r9a+NQfuGH42R6eSsf6+X/+lUkj/1CedE1FqbBp
m/6SrWh5uET/479h4TNxWsNJMqW7ePjMf0Ym9P6OSUNSQQjF34RVUC1ap7n4Pv/k6+SyOYjIaPH5
R2xgVmI0IpPjj/TNXjDTFaDH5uzix0EU0WpnkxqnyklD9tUJu51Iy77l1i5ks5nJkLNaEKhKdu52
JdT7Loj35UQ43CfltcUb7/yaTE2NiMGl6kRgrMuAXPu0U6k+PnpFuE3cor04cWHdqdaERUvhzDq3
jOJqtFR8bMNgvO4s58F38AjxCk57UbGBKyneuwZYscPntEmcIdmirOEqydey6rrN3AzzmjpDnnwL
xG1ufJQW3Mkbh4DA1nYppCprdR2EhnnT89jcO3P0XphxfOZJQ8UidXCURkJeKV37G/icux769gub
vb9PK3zaunXnVTcG05HuNn03Y3ImKCiib1V7xLgxF56If3/I0fAPxAGaHfOzsxkUf6cfe7+CXpo3
GpPx3FGmQ3ILO3li3Hi1pAdj/mT0PxqhvdF58DLW9hmi8JUD/hMj3yl3zD0TI72Ssja+nNIfdsFo
f2dZtW8Bi6xSXG1dBhHBGuzHUEU9h0cyb11MjJs8LMtVbSYvWeSOWy3lK/b7q6QxGYrkZmiHZh13
I+dqWPtLsqA/m0PbIHyYpzwvEWBjZ0+7LqDWTF/SpmrAd4wtVJeQIqGhcj6nwcDlgBvobrY963bq
XJr4Gqd7z1uLYDB7u/DLCjy6npKRn9DZ7MPNwflqms7YZ13t35Lvwmw3etPvRmlOfULtHH8UE55p
ZRuumii9JS4c/3YaLj7UgtorMyQnkKMHr9w405AyUCcAzt2btTqlnWbZHpoI17PR2LcATgPwdP4l
LaXaoMrc+1F5l0q2S+EgL3MekwPDDX6Oa+3B3UwD60K7bL0IfV8oXuPON7L33O7661Z6R8PKWPn0
ZLnvpewoFq7q5DwKn7ikR/cdGjwdLDZjvFNMZ53KW9Nw3HtNSM+8ImmWKAorCrMmmWLE1No4ad7t
dM4cvjaI/FEgpRZbR9Lzj91klcP3LvE68m3kU3Iy43OQ0+kQJx7/YCNhDmTXi+/UzlsaKvCY0W3o
zUKsu74mXFgJ0jrbVvpTSOoyir21NMtActAFAwUpick0S5gkGldF2NAcYjhxrg8d7Be9jqy0pXA7
deLqhWZEYFZ8n309b9LcXyi2AtnJ6v0CRF8EdpgyZjbI56COsmHn00VnrkJ43f5Dzka4PKb/k73z
aI4b6bLoX5mYPTqQsInFbFCFMqyiKXpqgyBFEt57/Po5UDuJUkvTu1l8vehotUShDJD58r17z0Un
V7yXSTRj84hJ19ioDWXPKtCUmD4ElgjDRSsh8fA5AUT1gLl3sQ11C0EKrfNlmIc7Itz4mSKb10Lr
Qw5aQhK3LBCjLBpVx/ykasH0gC+uO3PamMwDDovTOvYFYwoiusNiRyBdSunaKxg+wHHSq8MURDo6
CEo+LDtR3BpXSsfLuEtilScEmxc6OuJQkjjPoBgF7dvg03Mm8mkYKvK9IpFcWeAQ4s2MW1xiiUBn
eREmOd++QS2EsWUk7lMj7zJdqZbESzsFqFe3WQeeYG9VdZt+RnHTRRvHTogC0zIJ9MToBRhJx0ZM
DC3immGOSgliccGuTNatIJzuIaeTiz3VHxHeVbT+02I+sxRN+4S7MjxH89g+D3nRGViWxwq4REMG
cSjneJ+NMColJHsTWwZE7uY2bu3bsB0fZR6P6yavpidpDhXpJGF60mPBshcFpGzneXuDPaTY9H0j
nwLcWrTIWmP+JNT5dbA6wiBpWN77tPtLB41BE/duVvftweLvxfXXqoJKuhuHPju2dZ/oGGB8PlGS
B5cAxYHBQgpE/3KqU+Ep4Yjul/Fxqy3u/nrwtDxPhwOr9n3fUiRtKIramzizU/3aT0GObVKGchRR
jQWGM0eON3GEH6/NNHLmHdgg2nUqEdc3qS3CV8UikcEd6LGHa4mQ6LbGJt1/AqKK/xs7K+rZsI8a
JDtB6IoICV0yjPQVY7rr0C0LZhcBh3otKBeZbUM44Nj0V207RZeGgqq418fxXOrdaaKW21MQxycJ
ZRaQ75zfKbNqwyNPx6dmNMtTqajUzz0597fNnE6M6+ssveqdonjJmSHuOnA5ex+pt+IOVLDPlh+J
kwIwnLN861xipO6R2otYvgQwQh/SiLhZYr7NCL4xB7RkhS9Yvst0ro4lsqJ3Hw4now3O6+ktUb4A
QBEX0zDRrTBEs6XG6XsE2oahmkI3P+l767oohPWQQcfZRjhO7Q2iIyvlsF2R55BPoafkTs3ZglPr
ikZM/qbZsnjvbWV45LjNQaEyQmdtmRnRpeCw0RJEI+hebN/6eZA2SkY/nowWRN5VdszLUSY7EtzQ
7waR0seeo4by0S4CXa4YCo3buPQL7cwSifFaKHV/shJN3qrMjo55BCcdmr1v36W1MD/NHTtINLGq
upg1g0erV9STNgqsA+mUUp1PxIJJzbZ2/uBArA1MQQyj1u45vqCpDwwcQ2aHJZw1ogDJI4FkVKtZ
mQwNUNjc3I2hUC5gR0OKH4OGTo2Fuh8HJBMbivAgy7F1cTidUL85+apT5ymFYdUWZw02J20z63pj
nuq4Txkk0T7aFEGgMwbpe19fEy5DMLKT1/pMykXX+mR3akq9UyEHwaMNpJWfeuyu0yXCk1A7KbTF
sfcXMdxXdCw5+kndxiFegp0N1sOQBsgkQGnRrpKQjbcB/cPgGOUKfIY+H/qTILcrODMYGarHAU0x
qUMOEUqI+Yprp2DQyiBGmbprv0Icce9DIxoJ/CUfC+O0hh0FjhyPvEPe0GoQ5IcntpDboa2cW/yl
1immcgFK57PuW2O1MApnfeeYclyXWqTt2M+yS46rqH7sRm4Z9uHXnsDy091o5mMDzI+ZNckSh0hv
+BZKuDUDN0Rffx6lxUmNHDXKB129aCYcpVHtX6s88CvgX77XWkBlGgylj1J01QGFGf2VpkKk0wwK
qT2lFcA2CAi+p7ph6KIUBJNNsiqPUJ0R2+iGgc2BmBbJ11q2pr5igmC0VxrpvpdgaHSiOUP9zhja
sdpivBj8VQEEbHSz1kIvXMZxBk/N1+8m0Ud8zdNkB54zdd3NCMys3ItJQtXV5uCVbY7F0q8HMOj9
ENIgRx3se/S/NSwcmXOYIMdczUZxBet03DZRR4asUyJuz2fzSPivROJlHqqZ83yutbcBOjDhRrl/
GEilfWbDiG8CW0tfS7TUmOQr5nCDrkAuaWs/dznKVK9BACKwKEx/HzBO26VIB6NNOYa0MQwamMJj
FmQw17DVRcfJRrAl1yfwz82wJZaQnpfjDiOJ1InR1KuqnYrPZTNBTFPglLciQtdfqJqJnlxf9HwA
vePY/epw9gOL/MIx+9vJ9v2Jh7PV1ycenYRItSjacW8UKVpzHeHWWZ4q8e2/v4zEb2rRzbBtzfxg
f+/nLC98Xxn29lgzLwRxEKNQqAz7F2/nW53H8naW71egQFE5EfLLb9+OcBStpWfV7ecu757jZYe3
2pkTQTDJlOaRkkRvaQ9fmglPpslfXF1bPq1vP02AqghXDAcFoAMu9dvLR0OQKGWtt3u6+pDGlkJA
k5m1MZbioCfp4CQrYtmSwpiekqkADU010avO7Ux1YXwpMwSsu6XwyC3q/nm8Gu2i2Fs6vd4zVQ3a
0gUThHhKGaL0sqlrlqrCprNXxmHBZMI5/vx7+/4NcRJWgQjxwUrN+qKr+epAjMgttNOiK5d5D1AM
HE4Bkwd8ojhBrd5hjw8QS/6uz/pHbMP3F9VVOMVCSCpT5usf7skaw4PRQ7XmosF81G2dWrqFtx6c
RfZU/Ssr53LHcLGFwkxvgba08cG1Fzi6xjQuQwQ/R4oHH/Z1TJRNpo7tL97V90+avgijYKuCtTF0
c/n9rz5KLWtEWVRRvo+I7msvDVH6bJxwrrrdz78z4NAf78JFf8UpkjJRAzyxPCRfXSnAjhebs5nu
WwNAf9hRUvgdo94j3Q+9Wycacs6tA5LdYcsbmstk6HTGGIL4oKXk675UfyVDknULt2LejV/qw/pL
rfjzl/rdZyIAcDuqQ2OHjwUsxodXquAHrgsZ7ZMwVO19Kbv2aixGDkv/+jqAtE3TdJZOEnzXb69j
QZWtgqAL97nPYYAJiIYJfTEWnn25zn+UhbdT+fY///38mkU5g+y2jj63X/f4MFQvIHUA0/8sJ1w/
Z8/5fwFT/y+ayD/+4d+bhAgGHaHxV9qGaUFw+btJaKu/SVu3JIs8ej4LQPVfWkINmLoOk1qiM9SE
BjX97yYh0kQUstCu0YALU4Pl+YUS/jdDBnP0Py5OzrIg/L3G85pw+bKLQamEKYN4kQt9/XSVtVLh
oxSGx8DnHYXzhV2b29JybmO/TDCagC+ebEoSxb+NAu1UzhbGxGCLJikc6PAJJTjQXaR1bW3LyNwI
RfHiIykrZ+1AnWinXuD35+Gg3lcazB5cNpSZW2R7yCFWRegTjoaAtqbRQarEwM/i5UrjegdoZ59Y
+smqzQv6fduhMk6GLy5IqtKs4GUMws1UOp5MqxuplDfz6Hu+Bb4upFeUqQTuvszpzYRTLs4gLmLT
s43h3C4lqKLsKErjIjeYUesGIV75FTufV07TltwpN67b9aT5t1TsdMZ84xa1164eYobjBnSH0MkY
q9a7GY8l+z6BlIG9Q98LG8rsl9H8rSrrx9jgIwtUY6v71p7yx2NF/gxxY12V2dEg0+urO+8HVc9H
zsjvXyIbGz1a7jNNflgQpqzWmhCHiAccmXmf5WZ2dkScc8n0/NKumYqFYbJKZttTmEf0fDM/fwFf
hKff3EUM8VUa2pZp2bh/F8f613dRVDkSuBoFt5JTJ5fRUXY1ca20g/rJBBoTagRIIJVk/SWGdb7v
8wiTrDCVfUYWimu7b+QJ1ZvZqq0VHYKIpGY/Iz50PiJT3cGDTFaWDDAUtJxl5gZer0mM6JauD4CK
WjSuHFJv0B3OQalFCesTTuOAGxshaMOkZXtvtM8TiDAK1PnUIb0g11ysePYe9Eo7+Aw8STs/5FVY
nRUcZw//fiH9v+mv//FP/T/EH9gL1VWjKPznVXJbUL+85W3UTvvX//nvv37ij6URZMFSVgoBSOqb
+YmtQ+dnXYKea6gscctW+sf8RJi/IQKyHMJ9KeaWpfCvpVEYxFYwdlH/lGDLf7M0flt3sCDzwlSL
h8nhpkZq/mFlXDQfoJ2GwaO8L1wAQvPGj+EfCoGSUiFJ/ffd9h+X4mUa8/Uz9Pv1uCD6cGqIZZ/4
+hlKA2xFFucubzaoTWcjeO9RPoD0Qwb31Xfwg/VC05fK/cO1TMl6QcSHTqWifqhUOot9RYfAxNwG
vVmQmUT/0vISe9yK5XniB/15h05om2ptvg6q2nklpaW/avIx2SMUp4XKqibOSA8o8TN1Dez1xAnq
BwNw7TI+Jk7GsgJx1qlaw6wASO+qETZuqHiUDOIzdJm2O+jFGwJ0HTBYIm4z2Fr9RrejShwIS1Sv
olRr6CtFs4/swjbeEMsUHvFl+HVlk3bvHeOsN465GIhyiurCT+crp9Iwy6FmDLZVD8OfsUB/ikEd
HirVAdFcGaRLL0gbXkpn+/4DMSgzPiI4d7YbBamNN1xOMJ+VQLG35azTucqgN0AbcgZ01I1Ra4jU
7b5+z2KlPrMba28H3A+iZ9qk2PkR7OUtPbikXCeoks/gUM+HSIP7PY7pcQzpChu+2q+CqHxUshAX
p6qdYgNuXW7ax2nsANY4WoiapK5WuqPUxynkpIfTB0YwTVs3FU4arhVLkvUJ+8ATyggvYGoeIwdg
dDYayXoigNW1bAXIUG9ftAzcN2kDSSIk8lzH9uuRfOL1fj4RE62dSOZzG025nqp+bQobObQYwy3u
BmNN+thew9a1Skqdy9cspqoI3mH0g2nuYv4D/biN8HbXpJiPkfXmBJU3KrxiLq5ZmYpUUj0NHQt0
hwFvJfLgOdCS8ywn/GfZxwd6qK5o2GqNXNlyDjsVCTDq5RNN9KXQN8IbWpzBSh21V7PzjyKx91UR
p6tUZMwHERRwSgXQ2+gnX0/GVZGJ19jKNjqwtFXWtVtdjd9xkSRe4tePJr/ofXmBMvMdD/sRzvFZ
AF9ilfR+5fZhdRPAs1NM9pMJ2rCfIHUhwCqtI6+kJwXmTBJ+W8GnCo6xbgwqA0m/uaxa8yJSise8
Z/w/YC539SE9qM74ZnVlvE7G2tokGV9ePUrQlVCq3b6FGd/peD9nmdOZc1Bpdoa8QNkAON8fX0K/
eRiRD3u4ccE76BBGLJ9YYT1AL0oEFGdZ3y0U2AoaNNYpoYczWgG+1KTYWrX2mKgOb4C2tepzuXSI
XnywAzHcLze1dHuFRNQ1yoJIVJVLW4Om4LRo+3WNX5GAgPBE9xDFUAHlU0nTxvUzHlR8jmBzFQTg
fmPfDthC3JxKA4G8dA21xMVcFL/XNv85g/zfziA/3V3Xb2kYfb2//nFw4Yf+2GBtfEcA6EyLKYP+
O0nod4GCTcITfSUSX1AH6FKT7G5/ChQku6jNmdsSKBjYAdmo/hQoyN+W7ZjuApwopMXmvwrNcT7u
eOAz2MMNju26QXdLLrvUVyf7KDfLjJdXbaN6cWxWA5rWrg+Gx7Bv+0t9HG47pVauQXAheGQZLGmC
kjZqloLlw4Ri+5Qldf9MwmW09xOn8wAIIY2dHfjZRktaSRqZp9FiGsRfj0KajutVwED1LbbguXeN
RRaboyDnQydqFbRWS4dMGIxMJGYS8/agw4h5LiSNXEAuRGf6SXKFpec6QZtMpqROGIhuDfd6bKme
SvawG4QOYPmkLW6KwnkcFVh8YqB4yJNq9CwF9DLRuiQFa1q0bhoyg7upulEzPcRUMrKvlK1zXdLV
W3ddC9APOLrXBHHmBUOjAY5pzV3kJ+T5qs7woE2juSO7JX13/DI/QjkLX6SFfFZO4Dg7ADG3cadl
WxL/MNEaFh5go2d7XcfZqJD3YfniU8ICvrIMs/NUuAPHQYwD/NW5YxRLk3z8BK0xKmkzm8CxK6NX
nwphk+brl3jxZSDYHOvePDdbomFxUSfynqF5A6Vd0EvX5QyZcHaKbvi9fPnPkvCLJWGpnmlmfVXr
rZ/b5z/K64vnjJbGtouf6+dvmhl//dRfNTeqJHpG1Ne003Aw/qlZsuRvBGXRP6Th8KXo/qodYfxG
JU6naWlJLMsIP/TnkqD+tjSJOXcaGiIfVox/U3MvB9Wv61LqXlvSu6SJJij+7Q8rAkfI3mqoDT0c
DWnozjCpHkL83r9ooH0s7VUkVhwukIjblsb7+nAZPIdWPHBO9iwQWp96FWseGq+ANOg26bdBxoTk
q2/hBxW3WArqb98YrRwT/oi6dCWF/HBAdrIZOiUmMY/hDS2EMkMmuuqwEA7soHq+zrCl3cjOjnet
L68ZPTqKW/FTn/JJF4DCnfisIVvoTFS95vGEMiCc0uEc69B8FGNSnv/i9X63NPMJLYevpcm4UEw/
dBRiGDjTMELoSvwie2VWnzAuFvwbIa6DaorCYghsa6n1i9caQtJrN8rhfgoweKIPM94DvOl3OSr7
s2Ak4vvnL0/7/j7h5TEVAVzIfEKT3I9f7xwIpVXSQicLNVtpnEcz5HQaMIW+tpshJJKXMYOb06A+
pK0+eqqiBrs2AOXEa5a7cDRsls8gu0QechCi3KOSO+GjMDPX7zsZulbVJ09o/hhH+gakk0IrXjrE
RVush+X1z9+LsZzrPt4azFfYhHWd2OCPXWMZzYPadjohY10aHuGM4uEYRy1YQ8QJiVknJHOV6arp
KUUzvObWQKJKmuV4SvKMHWG0HOXUjWP7hLqUzCkh8mOWKObjCI2kaUgZqSNtjSYPfXmqBOR/d/2+
LZj510H8VJpkXkS++eiYQHZbBWxPPl2i3u1J8bCyPQIW64LlvDoaij8z7w3JMEIcI/xNiCnUBddg
e90kDdy6g35eE0LzuogIZleAoD6YVgWiKs7g9iCLVQ91plJQxpoC+riYx/jx55/ld+daHmwoPKaB
dhJPGzjEb+8LnCu4nprJ9BA5ZpeFmuSbIh7UIwXQ1tbFuxIP42UH5LxZZZxEs11Xp8O7VaX1i1FW
7XkVoFJBBqcBzi7wpNp0Ry03zxHqM1ovr4gZbnboYILxEOAdfXW6QQCn8osDsg7lUehJcKRFii8i
hXqP/l4djzLp4k3bWeovbhxW1u9unC/DLJzqyyn+y+9/VT6VUi17e3kImqTqL1DmLXRVUrz3JZXe
FfndzqZiYkH4Vjqf6koGB700VTgxRMLsBAbDO7MxpzewPOrnn38PP1hfJT0MRmz8o3La//ZrSIMp
60kpML0BUN6KQ/R72E97o03GNYLyX/RNfvAx0KNZBi+qLgVL+rcXK9gfBokFzpumxn5UEYYtT3F8
+fO39IMF8ZurfOiYpDKOMJ/ixKQ7Gb2puPeOU0cWE5PXfNr8/Fo/WBFIOGWPZkdduvMfPj5uSRyB
COi8nInYQVey+XW2Kuto1Lp6rY0Ny24OUYWCUVXzKyf36/XPX8APPlKHkYQDzWChf37kDBTKABow
pHGbogG+FzTf3dEnTP7nV1nSN79Z+TAyUTgwQ2QJBzdqf+ywseTKKY0JOTbr67LRljzyaRtH/WmE
EOtEl2OurzgGvC5laYdl5ZIUcCh7c4FwVx+mtdN14ARDAyAkoLetHUCoMcfrBiMSktGQrj49HVdl
UlYagD7gIxB1lQ3VG2ynX7TAP94fzFEIYmevNAQzVjgP396FszEDvLRq26vYdgB6Ix1GlYwA0yKY
/Oef23cfG8evZePDagMIlgnst5cKZ8wHdkcPx06t4MyfQH9hcukPQZ1DooebiZJGOL+4KKXgx6ea
6RXrDeUSKytE+o9f1wDUSCMC0/f6dLilxUVMR0DCtOOPw6NeFQxPxNhcK0G0r4PhyXZy/D7DpD3H
gSbcVg0P1D4cE6TtMha5wlhHepKmL6e/cpu2wM0bP3ryteap6FE+01ZyAc41RPEQS1khnsL1M+7N
pDfc2m7UK8caaFqS6AMXmp6igtbUJWlE3dTCN89l4aNHqNVjqSkpOW4DqiJfI3awzE7kPDloR5n9
8zxxbkHyzU5nyBuSILvL2XpGC/Wak5txmc8ZDjbTDB6RHXeXShVrmyHGAuzPsXCzSmZu3dj0SSMr
V/l1Gj9NcMeQI0Y5mnrEga9a6tRbIzSwmpKQYTyNkSY3jprdlmV/VUPq4H1GcSA++6R7eKaPhydS
guwTDoFoxtxh1huT+YeXR04J6cbMVhrCyQujipMrQf4gdK+4ahnfGey5dae9kRUqzzPIM5sIQTQu
7gRVkiN635sHy84I/9OTT8DWBi+in4t6ZUJTZd2YZVSs2wo3upt3nZGu5iqcDjALjBPKwQq0IKQo
xF4ownZFmM9bLcVYYHFgxwIzGkjWNRxkmGeZv9/SfH2LqS7vIw0qrz7nmefI/iFjvNJkY7Np6Mue
+/QWgZPH+qlPalOSvVZk/F0p4ypndiBzVKfMme/HoJPnfWIbu7asaziyAYHgiRwtsOi0CWriYLZi
Ts2rllSuV/hvzWVXS9UgR5PckB5pEkjNZscJtzzRaRSPWILThyHSt+AdC7oE9KSviiIrT4CH6L+O
EOVMjAnVtEbKOt2lwdyedH/q7sB0O6tKqSe46n65LQsluVDKKtjNI22KhELroourcBWrmroWVWZz
Zau88Gel89CRMoXCg/ys+KLeF1ZhXmg1hsmQb283x1l7Crv0pe5tcpSWdzioi+va76/UwNjOxa0q
MBRJoHiVP537it1sYzUe9gSLFp99X4S3KDg51utdRAEuxRrSojhT7HRet3iF8WXOwN/GwDzZ1RBe
JFUxr9WSXKZiqvN3qULbJxljOsvKOrvMTfkWVuZTrtI9dBsBKQHDaTQ+gDMqQO4N8P4nxJWhPqLs
bUKEikOcu10dPNRl80AbhV50a4r6JS1Eex/IxNplTpVtHQI1PLxLxGYAHjjWWQ0o3amtXVyX6aZW
UIKbOi+KwUx+b9S5co4S1FiDH+QPJ/k1Kyw5BVk1IFvTLY8/FWwZ1Bz9pn/TzeCQFiPEtdixcpf4
4XEVRyF/QAlC4nUc6fVjr2wSXcpLv4GnLgpF3ujd9NJIs7hO8adfkgUB7CCD3WnoUb9PM/NqLlX9
1IUZ3wnws3wdNkN3Zohm4KFqw03oELLXOTokqaI82nGPbFzHORFMdPcJJwzvWrgf/L9yPqhAXTzi
gprVZLI6mkYzsUHgRoMsEj8j1e6OfWAOF8w80pNJ3iZ4VyXzEGG14E3iLX2YpyrMmk1gxQRAKHgc
WxUwbI8ifmQkdQGNDnilMmqf9YFcp0FWMfbRUF1HSVBdaUpG+8znaGdt9My41/3KZA0MYqAmJEYL
O7lc4BPXgT8dEJuDskS0lMS39L1y3nGZnHR1xLJK0PWrCtL/uuxjKn05QC2LG8S/bj3n8Zp292Wt
gRhBqz6TKqHfCB+OS454loiC3sVBsc3nErtnrb3kfXUIhbmG//aSR8ASo7w3tkOJzbRW1JuCQUoT
jv15bvb+cejgb7umWjaP7ZyJdUlCoo96Wyt6lxxKGyTu1HK6nutDK9oAWb2OsDMJLojjlqtWG8Qq
HPRZW9kFFlulqrtVFzk5hpImNzagoCL4cP4ZZUexLeI4ORS60l8pWAk2kZrncCaJHDZBi1wbVnUK
CUN2gX0pz9joi+e5VpOt8G0o4KC5wZAZ0RHzuf7Iq2Zw1SUmDPSIeOtRztvQKsNnRyjxWYVL2bUt
ds4aOBHPRensenyLK9CAHAfTSa7hs2b7Ujcjln6zWid1op6nENZIGGPxjqP6VIt3Aud0oASMgm5l
axMAKsLyCucDvJMgkYeyTicSm+z4AEpwQnbR+g/57EyPHRpskImpuB6DqmIMZbAXhgQSGHUbfZKF
Oa9KowHaUkn7sQxUdR+F8KFjPWC7DQHuWkm4HhM9uKKz03qQJYvjEEzmAU+EefT1zvRCv1dvNQjZ
pzRq9X3dDPJII5euoxMH530m+a/G6S9wCL/CsYpvYa2rQHgCdcct6lVd8yIzM9zkKfWiC0eC1QW5
scAKjSYXL7g17RtD90A5nZXdJcQDL2usnOgTPCABQyISNEoLcQKQqHO9sgo85ZH5akZV9oh2ysRU
Y9xPvmGui1Bl+4OEvTWHvnaABbR45QwmKIphZWdtUlmsYUa9MWxlcYLGIMaBXd8oJjznJT/QIQ+l
NMM9Itlyo04GPgxRFevZyLjx/bYmbXbMLWMPkAl4q1QfpNHaV5KfxyGhKKfcidNzkBSvVqOht01q
nQo4rfObvO4uFiuf3RjvuazPSNgJrkz4EOtx6pN1MITxvgfMcBvgKF5V+jS4tKPOm6D0+sBfUaj5
m9rPBmgYAuU+/AvnchBORw50E9xxxLQIzE4jgcYfDq5ro6++YH7g39u1La6zrFXPtXYoz3SYzOfj
ODavDeRpUnCrMLwdcl6Mohrmmz6qzmdJYComuSj2tJCfE75U1rWV1+iRKfo2vgliy2VdmJ41hyjP
rG8mBSZ3kXu1Y+fXZU5sWVjF/VsKYBv0ia6UBwzMPRrjUi9dW0TiDp59tYpDUorWhcl+3dP+YVZL
LPHWwKDGVtlV/q1RCvzpAlCR24C52E6Vjoup8SvyTit0127UaOl9YTrjIxjulEQUJplgJUJGZ17c
6SFOkCJ2LpIwIV06UYa1zmFoZLFRzKegYguySz99srTO3sI4UGBDDiCnhiFzzh2E6rx4RikZ9Uys
e/2S8ER+uTJfjgkNSvSITXlZTmFzHvfxNYTYF7x/D11mdJswnLSzmuydXdfNj90MuRL0QQXyJ0EP
o8+Fp2UL5H3ZblRtCWl36rlaWkTjOs8I/StT2R018DOb0O9CjPexf5YxoA7cGhzXvg9xE0KsjLPU
WZwskSugUKJtmvKYcKuovM9x4nX+6wzlSA7abS37Z4FbEVPZJzNpHkPSRHZZoGSnqlflrlFze2Wo
mX1Me5m0a2hd2bpQBaZCGDLOBWG79RrL7LzLUqUTtKKAA8XSzM8ds25vlCZJ8HRJTNFGqXUXSR5B
420s03weh1xGK15Cd1X5ZnBKnfEGX4G+w2uXP42gNphCQIHf0Voa3vrYb2/mzCaCbyyAjJalvcuV
KZCuybb32nVY9hg6MaoxMCdioi63PMlLmHJdwBmJh13PiPspx+/q1qKTnlUEQMgIWsNlV2I5oeHi
CocMp76Jyr1t5sO9WkdsOlL2GBiJKyYmupg5s4LGIZzRt6J3fib3UswiOGImBdsoZUxoMKhqlDMC
CWOP+r+5tMFGhp5Bq9WriQw+4oRQTGAwhY1zP7S3saO2LLlGoa8EhpBNDrjvRhntJXSIpuEdM66C
yFtbPdCiKLa11Bwe7s7B8YhvxPDnE6mfq97J8teWpuNm1Fv1mWdY8ybCE3dJJ+creA+dR1Z2Shnc
1TDkwYmeq6HuM/kfa6g6YeVf1hQfnonbDS9eCjjFl9gudEMcskDeAT87QxxcvMzAB7ZEdYU3Rq8U
N/gSlFVXttMJH0DOoc6xTo6jqZ9CM3Wuu0TTzjVbZaQNt/XzshR+wsMa3nQAYUjyEQn2npig1jJW
nDt7bttbOwEKse7a6DMLS3qBuWm8G9QpitcRpp2NqJr80zDlFe8hTHZhIOcjecDBhZiD6tTXY3EG
hlzfl0FHxqjIoNspWvAA6ceHGI3/p4T7fRgsCTuagu0hc4jrdQkJT7fUPACbqp7pnMxGZ1f1dk+2
bRdGl3QG+/vEoDM4KlN2VhBE5ZDKMDQnjI827ZS5Ju2Seu1gpa31NohKq3DX5NFJ51Y9VTImeBI1
PPgF0+Z8HKacJndJTVPWBQaWboB157swH+KHpslqGIaGKjxdZXDgki6uMuMj3fOuQ3C11uQkPCNT
6gYTVMbBRgaZeqzCPrxQLDX3hFmUu96ve1fRBUL8Kayv2CbjDcajlGwmEhrI1YANqYgc8xqEQFiy
0kTDOOOzrvL2IrHHE1m1gItkn3S7kreguKUs83d+aVirATlQ7SWTRBPkKBWzjjGQ5rUSQuyw65gq
xAdquKqAn98JDCIYciCbg1COqs8QDkZQab12KfoM+zE+WU5SgPOfzdCPn3JTyWvPF8weVwXhh9E1
cqaWGFKdYleZJ8w+hdGwMgTTNW+UFnoJIYVDFYE2bOrTdrStbJfoiqrfZ77fvBN2TUSVRucwP9OM
zDJWHAzM4eBMkQUMxhf2tAa+gj+XSlpRLhHntvIg8MMN3miaj102ZjvQ2fp1OusLoSMCFJwBbSBn
wiIem6fdLKXHOXMABD9ULAXz3AGETSIn3GQ5qX5tgaGPBDtJCmpTT9qR9p6vrqzIZFAlsYu72DOh
K+OsPU90p7mLejNe4WOy3KFiLtsocnyfSTzFwKsZwxlupuzFFOWSgoAPfAUzjuVfHXr9iD50fkAB
37yH9IHO8fUrr7z16qnzh8Z0pV+2Z2yFLAN8N0buTR3yrAtTBtNFU1iSAJRuTje92atHumEB63mf
pZDb9DRaV4D1LqMeGGWhmvEnjpYcF+2hki9xDFp0AeflDxVeCWSx+nCI21BCSR6gbrjOYJVPTeUU
iwnaf2SkxHPVp8SXW1FxkyPdOYLeDBLC3/UX4ESePjThymgNhif0M7dxP58lyUD0Lwxz6hly866x
Aaa3Yze2G11F2FmGUlwinEKoGgP7saE85s1myud2P2WV5pVKBEQn04r6gbl+v4vZvu7JmiU7Q0r8
nLwTLP/1HCfPIHkEeWBFu+NRDSD3d+IKJbBiEQzQYsMbtYVc2o6tn6/GcfKbNZwzdsmxn89jjD+P
A6fhF82s5J7uanDQ+vGtEf1b3Sh3KkcAN8VovNcFYFNZYLwy8GutCjPv7mv4q2fSKZ1jDPT9rbez
hZZYRNMFnS12hozC2pWKZgPqM4g5K+uoWc1jqbw1KBxKxGH6e/O/1J3JcuRKdm1/6KEMnTsADd4g
EC0jGOySTDInMF5mJvrW0bl//VtxSypVlaSBzJ4GmsjKZNncDCIcfvbZe21XQJ68/RWku+SC82DN
/Iw2dXe2cSXNOaO9ZJ2pN7an/Q0BCuzVsE0hyCeM4OZNDIR5MRUvf+Tgp8t4DumrWJPgcc5GcT9y
Bgv+Wck2H1eFolN603kee3MaFp9KctLGNn+KBFiD04zBpDzIUa/V7YhYt4Omz2RCh4PlVd+qcMLl
we4D713xT7/DkQGwPKLRiR1Xu0Nd8t54O8W+hY8PPqQWVwsrQ8xdhs4AyH/b3jH3WVP35wiWP8HY
vvtJDhS5rSaWlHTMutaKd8vrl5GymkYHcRtOfA8sR5wUV9p0AwnfXTbjyit5LN0Vj5WxDq2t/qQg
0IqcTm53xUfX7G1/CE5t4AJx46RzXrpwkF9IGQUcgiJc7dgqCBk66rlOhuzRcdEFIwtQYSAn7z5J
pniEpbujPbuliT1sNWTSaVxi4/osXcOFJzaLzu0cvS+WF7xlRsq7Ug9dXIbGQZqt163g3Xs3FdK7
D+dJguvJ+/fZkcW5plwn5nLQ7dyVyvQcxNUG5NFyv1IA76MlUDcdeYQPN1RfZ0+BZir252U+D0GU
f6WD4QVcgZ71BGs0wlPNay1F+Y0sinm2rDR4Y1/fMhLlSZ1s/Kn3dmEK8qySBdwcn96/t9DKKzTY
yn0ZNQW5rs4hlPsjSUijFAUHZH2HZSiwn5QUb/kNj0rkrzWoPO6SVOe01BbkWA5jimySbBtlfsp1
S88/OEYJ/ElLFNE+IopoKAqhE4YtdGhirTDe71UeTM+jE9rHius9WFbkkYWxywWzFInFesorXVx7
3OMAm2rA9u1QkZ8V8rL6TX9c4Nruw94UWzErZiBVye2QFN1jvraPqva8V2dNNs3g/oDh9BnhmoEz
IOHVcuODd5WZWm0b/O2jru5JzYtjmmb2cwd3JO4bL7yrKTC/z1X5raFxEXz9nIHUd52XYPD9b1PZ
JifKXczO6mfoQ6DPw0Quz1RQ2MepEuV15U3aTHVzcwyR1bVM+iINtCM14j50a1RmBF0PXpRPj4Ps
xv2kWkqbF878cLDPNgy0w5rUp7kagsME2H1bZONvwpvmJ324sUd7aTxpyuRXgVcWzvOmzLv6ZLtt
tesprToEmUIbSigS4An30p3xTAbidNob9rEezVsnh13XjrTyl69qc06XxXsgIjWAhi1xD8J/HY8N
+hOIeyLzQLEsQNOjG+5c8dDfyEz9WHaAnAXN1wW0U+BqrJY7vEvVOQRKYDprFxXNdYZb+gHe7ecU
WulhslaHOm9qq8awknj/h7hV8uKa8Wh1zHctEN3zAP0Q7bdld1Af2qx4ai1h/5F1ZuFoYhx2l3pF
zp/1GQHstQSYmXZ2ELN4iN0cRkY6Eyr06BlJGzxf47BWP70xyePSG34Yk14w00HWTPMWZ5njpvWG
3T7dtIEl9p1gBIKGfQpcrTrIeX1NHzXMNlLQeXAGRE2W2TAgS4I4m9aDRB06dYFIyTgBZmj90RA7
pOij9LdeKxnap3VPEFNt7SAtZzpdxB8gt/0X2acN+I/MzYbNYlG45etiPFZaU8LFVJHdCSsnokHF
h/gYZoI9nwn/D76eQyeZeyPnm+cH9LksM2pbqeddyfe2i5mldwbeV7RnQYGUMeT6KbH85KXvPGLC
U0QZdhC6p0h42zTs3bteuJRuNPOy6OMcmPwzCRLeilAY4aFSmll8s3JTsHJ0cAB/pnnCQUw0MIjt
nha7s8yZT+K0lM7yEdG6+RTRsu6dbrzcKoZDczvg8uJSidnEplzXGBQBmqgEMDylvA/Bq2W38xTu
NdGR/LlY5vJlGn1OW86N5uAVdC5vlqSBqUphefABkHj61K0rfpYBpe6DH02QOoEebah9pX66Xau9
obspDnvtjMdC8LqvbH7UDIMz0yJtH9ZTaA3vCMXDrnCXgRXmGNwFUqDh071AtQElWqa6Srulkqnr
H7zCPakaSp9N1Th7rgfB+x1K9oNH3EoVo/XiO4u2aXxp0ifBheSeJy77SPqiZyLuN4tK7UugKTsS
63Tj13WEufuc7ZKm26CIDnMd/ZjT+Vn06zsO5hVTMBmYbWG8/rTCaUjDdDz4zdBeIwymsRx40Osc
sTElOIDJxpmeeXcDrA1LVLKi6mpA0RQW7kfLX9NNZeb6l5lFFQ++p2KuPaeGOqjNGCTMTBgJcZlI
tlJdpJYXmtLH13TqQCmAAHp0K9FfCwwM5Dbvif2TgV8DZ+tAIcSoTuz6nXmhtknGBz14BiAJc+uN
P3KnUFTMQnw5m1HZoDgoBuTim7MW7kdeuvWUcuTd4JxwEYs0OmrbmbbAAT2X86cG8Fs14qWnd4OL
FvppbtMfREfThwIdddAzJy7a6nqft2KA0bCadx0wtdUxqyyUDcnD8iCH+n1ZHO8GCkzSvRo9/aOz
8/I4cTu+96NRvuveUBnSs9bjSmRE3AKhte/XyrKp5wj4GPCDwdsAC5E8eEhDX8ymTCGmSK75TD6f
DnJsPhRyZYGzS4RTvTLC4SYdhkOp3XipHfvsRxb7AjWXr/XYH4epW/aiXt5G8Al8gukrC+RD54TB
sWKXBBpyULGt6YPZikGgcRfWg5eyUuRcyV9HcCE4Rjomk5kHDfO4PfxuTH7t+uBWPqIPgTtsm6Wi
wgQECG0zfhmbMEeBz7pd5gLaUDhtwJa7XbqPdO0y4+OGkVuKYf5wJ1d0mBq75Vgzf77bAEUgR/v9
SRRu/5OSF2isq8sDsgB2AP3eR/NLJRx3jXtnBBeCHRZxzQSXIAvrV3eV9IVQiDkDXPKpqmwWmIpz
I9OnrC+vY0AkRM1dfsfmhJWDW1ekgSOSZIM93SrQ6sU8mzVvIHnBw9q6WehCJ7YBE4PUYZ0AXf+9
4FT8Ms7gxA3mmhdJ7hmdeO3yszA+R5gIAMKUrM1mN2GQa13rDLqzY2SCIHQa3NmHQiSW8rpwj7mb
dXLrEFadzzYtW6HRm+qGPh9tF4rYyEcO2nV6KxU0ojA04S6XM9iF0Cm41sFoDDpeg0smDkJxg6KK
ZnTvmeBAvQ9sFedt35snGrYUNM9fLU0v8RBM1qW83XgX4+bP+PXaK8XaE8mJqngsjJFHvkreY4Qc
9OZnbrCjVkhsaWFtmPcENHOj3FiU0J79Atsvu7zygs/J51pG90KS9MuZE3cFheOF+4lT+iAJZmx0
O9w2Y33ifK+QG+4StkDbjp5rePWefJ6gLVMQ1YovwHlBskHV4+VRFqu3nXxhbTIgNHGVUTGOhuRt
bQqPNl1pUYCeZ+LF4fl8yjqHRyn1RnQH0z4LrFr0uriSMhiPfj4OWQSq2T/Z9GChppQ630Kerl/y
uisPmMHH733CWdfaHgv9BTJpsNF2wb+4tqYM1FvjsFlKAyihQZt9+fhoPwQ1fg/apU2IdaIVuxgV
wbp5Ig6DaI5dO5V8UlUbF42nz5kFroRTfOans7R9+Gkt1gdlHL/SGY6IiLxHHijUetSkuK7G4jGz
nHraTsVwmxz8rF6vkWF1TUHQoqZDy+EJJndQ85HHuuf66CGZLnWYnYjypq9Bbyt9exHN9hYcr16p
QwgCLAMmujSzkxxFUA9fLrRPD809CbzxobdqfWrsNYjL0pqHeFxIuG6yMU+eUsSiF56u/HvZdM77
4nqURAVQSFNLpPukTcyDbNqKFtyJ+TLRM2vnyrHfcV2Or6WBnO2HNZycwjh0HgxuH2MbS39FqQm3
XWKXu0ga/dIDwL00FFzteVtUOxlQYtKsNkFkY88u6xfnzyl5ilev6c/wYaqtmxJ7F6DsT9YYURXG
O8SLTRXqvfJnc0VoGU8mK63PMk3lm6e4aDcMSUdlZQodFkL2mhf53hklNRzr9NMiQnbKFzdxwCwt
FMxnTn6hMWt95ImsuFL7w0cr5+LLi+gvHLLUvEAImWkRY97pwHx1NwfDFtUYYl7B/y1RSb5p+uGm
mOVGuMb2PKoXZ63V1S/bXlztsJnvRk1pBhr1Mu0Es9axz2Hijqa0H7WX0btiydo5Rk4Gs1qOeFSc
DlUvKoJvyey516xruYg4AaJN5S58n/nqdRBr4fib6jUbaiwkFhYqo9p7q7Veg8b65WHt/FZ3Vv8M
LSzZQ77Jb7daEkF+nr/ZAJag+qXBN28t52c6pdptUTwtSK171y+m97KV6lE43vpuJdm4KzCinL02
D2NiddM7x8q7LCvvXlu3+8FSl1ev9N1zUyn7UKVZ/ZjSexcnYi5/Aj1S+35xbZjMc86oYnM6YLA6
Mhvmadx3Ljho7B/iVAWqP8xDaD7qtB/og9XG/aq9W/uC6mxrU3FPPhe5SLcNAVLCfk29VfLPFvnJ
jcn+YY1oKCQmK9Gd6k6i+8jxMHjBdNctSRtn0nHeRVRBlgv5ryLkmNfOE2Jrfp4NfYNotgV/arDu
284uT+lUeY9d0KtdTVp1a2VNeKa5AFNs85sU2F6uvDMqWBUHrtFgu7Tn9xRAZXZM6q05wo9kYA3T
jzDLfuJS+hWitpLFDPZ54uxXsMZxT93noevbX6UsW5pabqWCQ7WpgUBTA0/lST1f0iG9LEH7tpLs
DlcTbFdQ3RvL0TZ742zHVzaeHB9MIOC5au5etHKOOIbiwJ6zIw0rVSzgoW1ot+YWuKwssoCOo/4q
m6Ia62js/q7yfAoX9cXvUb+1I9kI8UceVbgWex9QLrwWkzNMTlPxI+j0sLeCtLgPg7x8oTJZfhMN
E2NrSA3KmsKK/2Nam3sjq/sdTX7pp5Vl/j0jsL03YVoeGpWr1z8dc/+/EyP/i7i1zIsgKjwsev91
+Pr6mX5WECr+Y0Ls9vv+GgeJxF9cl6gXqf3AhYhzS3b8NSEW3VrocWkQD7MjjH/e3yXE5F8AoRLY
iuTfkiL/FgcRhEiovA4l3DjBH/nfaroiDPaPFlHcoSH3BCDcUHax/Lv/ZBE1oXLtWUPR0jmuhSb4
ZL0dbWh9qK+Zr5NLXk0Y9Kz6lbYTuRUlcl5vr9Xn6ovgvggVpH6gYoXAEJR1yyNRsmwDsfGVquVo
W7FupjwpB7ioqUtcSn9mMyRuPQwerRL48V8Ur464iIbhGGb+RzEroqbyXiuDHCzyXRYU3NXm5AmV
gUII7CaQRIcNy1YQcUm4H2Z5Q9CJS+1pGjByh47dMtqp1pVY2CJzT7NvzXuW/WGF+LSZC3WkdGjZ
L1xTMfaFe+ZalAPg9MAjaOParE6wndKBN0y0PPWZf+Qn+HNxSVODlqiB02vlPue1OIME48YKYXRq
3d/Cydc7TGvsEAYEsQMawEvOZ/vAmhawo7E6FiL562oz81rLZRJ8mNHY0Qah+SfnXnlFvTv0WNc2
Tdffg9VVJJfb+pCv41fnanNN3lQEyUH17JOz/maQyqqrtsY3KVic9BO10ASTa59aqbD5PfJu3kbs
mrDxb8G4bRpdfGOuO2Vd7QK0WaA2cmWGqkQziymO4OeeLFfMu1Sp9XXKjaAXuCYx4VLNhASsOywh
lDzTFwrq/KWph+fMm4m8IpmwwKj26O9QBNvafxAeMeZK4IbTCfIFXM7iEI5+Elc4bU8u/cbf2IQ/
eyXwQiQIf2JHnukXu8LKtVFq7A6jVaQPq7yPavFKvHg8mEI2j8tgIfbP8z134Qeot/QmyO9ppa9g
8nQ8TivriWXguFYntDkuuOn3JV2G85rvtNBYeyZ1pQ/hd9m8IGh1W6z9Hne0DlGjprB9ZJe3zlwe
+opgEIsAJlD6St3+qlnClAIciSZ+HYY0G/X6tCr7Nanf3KpbcTPAWV/l7e8uTj3vSfo27FeKwlmr
a/qSqLyhx73JaKysw8U5UJa4aYTzidqfnw29AFUR3XulIeJb3wVJ/+iNvEMxerUlKFqTOR/zwKJq
k7eUXYNRfcF+t2+YBPhzdYD/vx5wbmeeeHQWg9+Sa8wBwVN8dX4/ncehzMeYzIZ8ZHuHwSRRvMT9
IfwUqHJxNDXpGbNKeKJzeDpVBaXTqItcr8NJ5RfULPuUFelw1GBpvqmAPRqPqjp5ra0/dKnaWPdL
+5hJbz4FQVP9KHUSvBifTlZ6FMCKdA1QKdlG5y7K5d6Ry7IfHSc9TZZZ7+vZr7+ZMV+/hR1N0oXd
1a/1oLmvzC5LyaGLSOPBeGbBkM1Xf4luYp7fXco5XJ6cqfGuwjHTHSY9mgGo8NkFabvu1xbBrq9k
eRpYvz3QqJz9IjXOa1fVesACVbIqbWc+dTMt+X2Bn/Iikmo8Vwn9unE7z9QmsUl4Xry5vzoJjWI1
naSvmh/WfY+h4sKjElyodrcvtd9yK2YB5MRT3QUHp3Kra8Q/cJuNLOOLCsL08e/eMv9J2O2vaIx/
jzSFPukFlwwObwGyH0SM/8kMX5akyz1l0lOYptW1wx03nyA2qmvvNc12SmzYj87CndlFgqEYnKZ0
vLs7sVrpzh+nVzkra1959MbPQYHsM2JB3aKB2dBfIxVnfp5+ULeU0MXQpuIR73VxHukhgDDBHNpH
5rGTt7VWElb3Or3d0/vsVSREbFHvSM2ucx3PjhKbTItvwwBxcsJo8CCnNCy2kISTb92yuBaWHuQa
gm9su7dZwx+MEJxFGDy45WBhxFkDn4KyvoNN4W4BU8FvPyxK4liCzmm7E8ZpXj2UiQ+yDXc4i8ze
ckn3Bbd73NiwkJXbrtHYtTDs4Sar5CGvm4vFIHfUtYMuMHnkgcdL1g0vyRCA5GztcTOvAgEjpxKp
SfIdrRjlhjuwiYMFgc7J6rMy/nxOhvYS5Hz981yLPcaE/UIvfFxMNP6yBwIPvsj0K5vFwkC0+Hsr
LSy0J8gdrS7oK4q46QdZWTx35Jm21LnWuCgXbE5JzaNkmIMZyiTE0O4GrpgKdcmFFd1Pws5eUW3c
S5rL/loSL3yGIms/ZqXnOnGUAwbmZ73Ce5UU+tljdE88nOc9XDL1M0hxfzKQetmvumKmWYdk3RNB
K0/69p0Jb98eFvXTDhnf+ahUON1lQNGvrHPXp67PianZDe9nxK9rt/CqbOSgPns65Ohnjny1L2/f
4Oj2XbZv3+okKJtv8+2bjpKenrrZW/Y0JMo9thuQmxjmz53fstvsm9tzQPtReDtD8ttpYm7nCp3q
bezfzhpxO3XG2/ljbicRlp7hCEbVPpUhE2QDNniO13GovzO/TKeihK3RjQuW5XHK4nmU4WdRufrc
JRZoRBacjxmWkzGO+NVnLiDyi+Qsw2ohxz0KlnzkV1sPU4/EAAvb3+VI1Tb6N6GkmH5KOBPKRNxQ
ShK7as+yHRaTK4Ji2bOdW3EFd6u8EdM9DCk14sJ8bYKCPkDRY5AzQaTM1o1WER2dJUqKu8bgJPwO
kGdggS9KSOFoGuV4bNMbQRwaKnCUVuU3svjI0nHnVQ0OxIEqr2ZjI6D6tMhk4GgjvWKBro0wvK+F
YLE0YKyElNoU7SHsRw+Je3bvw3QluW8Fzr6KPHpDC995VmYQZez9yULvJXVhNCY64QKRtY02+IST
P7xZ9gu62I2ljp0vs2hVuzHW58JMFRaF2X6nAxQAu/kTxs69Ej//Oji9c4Fy6T6XY8/n0vSYWjTL
g6JY8KXqDuNwc6Rayd4Xwfg6zheJTA7XzL7H8drd+0D6KR+wkpg7KhLXwErTDphJnURH7I3TdVu3
HTKLjw2GjrYfqF4LTuXly2m8nvWKF4eRdh8Tu1+utOq4MSLmH3nwB07B6A4WGeSPQLtbkgzLxWtZ
jMD/YNvWPvmR81zc+PYroHvnRrzP6kAyQg5EDZhTz7SCyWPVJnXM6vAOG+Zze4Pmy9zxLvgc8FWY
7qu6EfX5GaVYgKDsD9nyyOv8FYkh/y38hYaqycys0VtzLsoRDw+Ohze2qEDWnV7/jlqHZ3BKsWbG
ahhtZLooh6PzPzLB/Zf4rK/1X75aRs88zcb/+79pzpPINn/3+v0Pif/z59BAASg//2HK++vv+tfE
f/gXIVysGpH8G+rjXyEg/l+ADgqKjBybQevPluN/o2xB+uDIs20fBloQgBL9W+Lfcf7CYOdExDsd
n/8h/1uUrX/OOgJhDcmUSY8omwzBWv5jmE0qYXUByt2OLOpRkz2WSfmbEWFPFH8LJ/5pbimO8zHl
/t2n9J9cUsI/I+z/fkkJfNCKrM8FTyo2Uv4tTL5/nyFPM+EZaXiXSMSZXwmFyxB4fE6wRczc/1zb
AJPP+XO8TZBb5nlV3VohoWQGv6DqfvuCw4yY4bQyvpRh+N6Guj3jvIIQ1efar7dpSv/5hiMkfPSr
fgWChOay90RC/GUgYmDkHNxZ6QhkX0XsvxomEgDlGEe4rT8sKQYD8GdfhY0dER/DvoAsELP5IULR
N8+6rm/FUPYO/L/NtmVlHwjv7tlbgXBTvDV7VwIuzmNFcP0aKOvmdVoL1MGwoC4k5O9L9KoOIEzq
Jy3aXdkVQI2olCo7Poo1Mo5hyLA1N4gy5zcvGsUOL+T85UnLfx0DRYpaTU76AHp1uIgGMLiTa+oP
Zc7px1QYxEQGi41XFelbjtn8WYp53TFHddsU46iDp/dJc6Btk3bM3ine89K4HHxrr01JYak3W+HD
Yqnxd7LyLmIHE0GnT4sx+jl2i8Ijs0h840NkM7jipUWv4hnbJvRsPqu2T9ja+BqXauWScKFeWS+H
0A6zM4IHOwoMhBfXZ7/qWUJe15zRkB4wHLhuqcUjeLMAMoqyL7miEHjqVghe6ZJOseGEQdvtEVtJ
0zWc8OSZDnSPrZe5CMc9O2rY6Gj2+yIfzblZ5+61b8JgQslUVrqFvNO+0RDJeokaZJxx5dJZB3zJ
UfuYuh7FLhn1ID3PAej37dz0deyrLuLah057lJSC3cCZtnmrK5d8wCa5pV5ZTTkUX2H61g/8uqXn
oto4v4QF+22XYnEjYjtGTEELHg17plkrnrDxxoII3WlSM7mbsGkL2BcUvpUbBQSIzOLtMtOmnXgT
mkX9zhRaJls536qL15F+Pe5WGKxaLsM0eCnQYWkruvtpysYffePyIJW9/Y4BKPuVAHn+4pPJn1XZ
RA9BKRqumLrCF537U/aOUpvDIaBwgutd4/kbaTvzI7Z6/hZqZB1yIGU0xroK/B+4+9WdZOZe48Sf
yQPnc0F6KfMcvSOj5u5ZC+gXtzXec+OEZb9dHJcCk6LuiSuYaF6/SOZJ3nbp0j3NiRP9UGGbfR9y
Pr2dHw4tzv2qJEAXsTCYRzI+wTQ56w5a1/pZM029UrhOQaCLmeezzyGWbjpwGVvHGaAPSSyvNsvJ
3vllgZh8ycaufsOnmTzJ1Qvem6lyySp5VWJt3cUjrkE5DMtRZy673dSwjmpl7++Ungh5p0RUQVJQ
+6K2ykMC2ucZzaR87hUZU7kGNPBmUppdZsM3YALFncNCAujmiMlJB2aeD1mZDc94NqhsiFK7Opuy
XJ2bh49ThMpR1j+spq0H3WnW504Zlm+FtuilsG2sVrFsgvbLtocGppvw6qPpLRYPxJYCzUnoBqeJ
mWLeyOmWHeiKsHi06ip7dMdATDE9A2RrDb0/TznW/jd+pFi5O1mzKw87uUt8ObykhCy2fucvBP9E
/VQ5pEZMp6TcdLQFvHuKRDmHGRfsxfblDw5zfqJYjC3EmMAhu8NeySKVOacMLenagRS3GC8M0d5l
BDu/8l9q4WadUqmxfIYF3Y/O3HAszEkiaLe0zHxdRjBOlU1FfGzwLEM7myM8E7YbuR/5qGYRp5MQ
OI0cq2Ety1rwvogIJFgi7F5DQEzwklABwl2Cvep9wZnzk/Z23GN1dluH5dBcWNyjGJClqjIj8FcM
Oj05CRbNTeAhr7HzsjPqI8nx7NhdeHftLNPsoCpv5A5oTcwvGld3dz+0dc7uvC+sz4Wuci6daTIo
kP9NslcNfgfMHwGuPa8vMK91JoWG4DWWH/PgDOyDWQITBmituiTqhl8ct64WG6mF4pc4AtML1abT
hWRKzW8JzV1ECXfcuWFyz5M0/AhIDt1b5RC8sZis7yhDLc8GkZ8rpJLVUWaaN2jZTPp7HTocemmY
L1fID2FD+S0ntWlKCgKRW/sePL8f/GwbKV9WKN5EG2yJ9spqhYzPFAy/9TRnT4P0uizOyeruQMsv
17BeqCJTGME8YnHfGyYQwlBhm9MEyWsnlbe+C9mYc+022D6CSZ1J1xEO47/8kzjXdVqyZDMFttAb
40j3jzQR1dVPJrXsJrZA7Jq8myLsMtfaxyTVNrWpU5h82qnGTDDJsdSXVmrmqVDO2XdipjY/6LDK
gTmua0hwz+HftiaZfvcox/rG8ds9roMrD9BA9EfL+/ki3XRFfUOL+aBJPaLbSpFiAxksDc6VIsht
9EB6rTaKKjO+hpY9/FgmMT6SO5uvyUpblR0o4lZ6sehkzM2r4Iv0xYYowX6GWxqNqTq42DM6St5w
oqH5jcNPg4Wki0WvUOUi1vrIkEq6Tzk6HMQyZzrB6yyrS88O+kNMWfbblEmdoSn07O4djLR8cEVm
IEaOEGr8k1npo47bNAnf6dOWn7xd8ieWaNnKsUXMZiUxO5hq244dwdJNr2jGshNe+TH6r7+y0Gtw
sFve4GNgQchfvUrxJWC9tSqr+OzdKLm2c/udBAA+AbQA0tIOFbq10tmeiwHizDRawXzWmS/ZzXrZ
Qg/DrTIJWnOx77KVvF3NJ+HUiR52U2fBbKvd8Kt3R+/cZDJE/QycdAB0GKkjvn55mXznAzha/1qu
nv9HWLoUVgc2j9kuchV5QsflkoC5NRh/h9IirtBPAQOvn4vw2fZkmlDV6GmNMyrF8Z2tKCM7mDsU
reJ3JAIXzjeV3g4LOuRDgi7teZp9/zt9KTxRNVELLkKVz0sfj8NxqGyFqAsjkkbYcXV+DyXOVc7p
Kn3PhwaLmzX564PMc+VubV3PuywHbASnGlHuUq61vsv73PojyYcp3OTkhwG1Eo6PO1GOP7ye5B27
hdz6kVqylbGndEHgyuMUiNyaykCH+MlLE3ZkvdK5427iO2Z5XUp0m1gTR1Q0UXke43fK9ElPVaHT
e0rdPap2K0Pj6CKXakO7aj8QJiaLM0o3+AnPARcpivtNldgOfRfF3ujIPRnK7Puy0mMh0PyHDfW5
zqYkS7SZ7VtRUbLSkQvtBOlgdKwv7dByb4u4GSmjWXzL3RSRCTfpGNZ7PyeKB06CdLrp+Mu61H2Y
ihALphTZtvZmNursJep8bY5pJFYwu0XoPxUd+PKlbsK9q4aKVrbE55U7U+2aCFwbAZ4YuoDqr8gA
juZJ9H4vuSp2Ax1sfMOYxB+DaRguRbYuJOSLKng2js7bHSpX9mJpp753p4XPjy/F2+ovHFeVBxzh
EKpCf6foRn1jgr6ltY1Y9XaSKfsrh93Gb/wb05ef4WTatKG6taB5Ce2eNdPNby8kq0l1DTlMvwNP
iA7j+piAPL0hJkYIPXV5CnHrLk22dSa9/M4tvH6d6euXxXCobLom6SgTrjX2zqRJ8Ycm47i6x8n3
1hC26KrvfB5ELr3UgjMH8Kal+JtQu/BxJ/Aaa/rqWnObr7elKWb7JIZq2KWOzF+6skd00AY7cICt
nGSeQWTq4aQsLtpNGxUgq0Q/LTDbG0kcrkpm3vc6RxEMMjD0bTIbD2CI5ibIi7KCbz7M7JJap6fU
LcWcSyauo0h1a/majzbw21dnrOs9/KUSPljZ2WcIEdm8G1WDdpwKVX3XUxgp4pBT9qsMUqzDfZBw
K2KPyBURsRJLVrq47Zs9edW3RdnhT5c02nHReu1OoD2a94bJuCWzOhSfBdZRe88YKx4WXWoHMbap
UIpT2zlHKcrhJmoiTai0AcW/nZfE53DwsbDxGm77p+FPovFY8xhifyUvQVMKY466IZDdP2nIVThA
RtaDb38LmsHDvFv9av4kKJc46xC3nRtZea5ZSx3FjboshwUVd5y5QmbjEoV3eR3ad8mAPZxjWZSn
sRDDo8IFgYOvpGFc+IIxb15pqMvZ+J6WMCXGaLXFTxkom30mm8szU7J4Ivp3dkI2T0vfnmrXNdc1
K4keyno7MnztWm9hge9Xh7zFg+g6KX3mrnxQfAEecqhx5BrGjvQnaek24PrBZkBlbK7GEooYBE1M
+8UWEMYEu3ixYTUM+aHpneaJ0Ej9yHYERonDrZFMrR4S/hrtV5eWPs+dhZq3CTR4TY1I+gAWlZ1W
Wx0J3ztxwf0ypaLsET3YfrOb2lUcsPiq6kF9b0g+xehu8nmWtABHXaH3olkfgsxal60rJknWdI1O
+JRh7i6kA2dOqMjeRjRiwY8rWdYMeWh29lA1V9JM0Z2ZSbnEbRKRlOPw/kVV1KEnCfWbtG/5+P/Y
O5PdypFsy/7KG9Wo6CCNRhqJmt2+U9/7hJC7S+x7Y/v1taiIjHwRhcx8CRQKKOBNIpGIkFx+da/x
2D57rx32OD90X/hv9F17J4VL8lXUbvjL4wG6VrxAYMlK/hPZ4Qqt6Gcl5N43qXE7u7ZSuJ8q/I99
1FaPOYrbQdQBkazBn7Bo5xF+w6DoVj3i80G5Uf+ERSX9HlBCNmBJm4zPvlNF+50FZ45Mhz9MsKwD
g71vEsKonKTsVPUSvqfapcp+GZYGQg1MgK66yOcBlowWa2KrmtJhl/VMk2ni+XfIzB7rXK/udh3L
SO44ZoWbrsPQHXDNZFLYpMszk3hgTIlsBVgAyd8e0g0zUnuqvo4dzY/2pl2JcRGCTmBuxtHgTdGb
YnYOTs41AZybTR5XlCDH15XqsJjbheV+18SyPionFsFGCj+dNl7r+Ue/90f/AC4EkDgxUIbowc7c
Dy/EvRaj5JzboR2uwQXOuMvNiMG0sxLCOrmENiTDOiasKsuD7mz7Xmqzh8TqmRyJgYcjPiSzBTqn
avEZxrmanH2MYamiF63oxcrthXnpmqo6ZCyFl/BB1Ey70mBfjm3J0/v/1ke/agP+BRPVsp2FpfmP
TTCH92Z6L/6sjv72Nb+ro+obG0rTVMqhVUB6EqHzD3UUbQ9BBcQW4iSXjz8QyTbNLT5wO3wzizRq
KxBcfzPAqG/QVSlgQluE9Mm/+Usbyz9rZ8Ha92f/i8RCjKjHRdmWpkfdwV9EytQSNLKmUUG0ETEM
PNegdjmBt13BeuI1xAv4xh00OxbkUNOVX4PKckZQGCZIwEPTC/+YAI958CXfY1mm+s9l53HaDIW6
nmdTPsVO0F5hvrOJP9rJjzI27Gs4PuOx4J8HN+cShNMDxNZiuJa/0nEWHS4PQtN0FYhHYhvMxPTV
F58EScRV47nZo8isZQ1jihM2Tuu2rW2IxlQ0b3QEUjKsmMOwTSfPVMoSpaQf79msIq7USb6LJ+4J
nsGujLSev6V20lsliUZ+UDzpnNQTazuxrWOZeRwroVPjlyeif+3TgruPWxBWcmSotOsu3dreiLtX
I132Y6KvOyKnHNm0ukQOJs2Y3SVyb3VFcNg4jZkpMckvS3wc2ruepMdDr019RTxo3ibKLa5rIVuK
8Vpriw2xv8+KSB/ZyaC6ZhBc0s65Dji2qXYe6dcbO//NIvzAXIa7M1RCbg1RpzdZZjcHZ7nT6aZa
Zm89v5NwJBMXJ9WupJwM1/libZypzgka7Zx47IunIK0+qV+r8DpplmrrMU+HN1OP4bNeeNkTtPhH
n4X4B1hHvHbSW9jL8ReHeQIPER9dswMbxH7KXJJR4JzlF9rZm9X4PcEhIXdpIOPbwoOyE6OfnH2a
WLdNBVlxI3mExZuy8/0NHa0TaSHDNry1gaZdrqpuLi5s/PJPawFSB70liHGXlnNoyJddwAwZ22B0
6gfC0xm6BWAXcnifPKOLuzmiEdMYXfuK+0y4yY1Cv/DsprvY87sX1Sfxc0nn5aZlhhRuUp2TfhCf
0CmcVW4mDFBJV3clQt403gmR/Ioi77vjqOCqamZYvqMKzkDKnE03FFx1dVJinqAUtUtJWhC76qFE
3kclrKx4bqfTWM/qBvrOHqwX7q3Cwlivwv7S16J4b1iCHSZS1Ycw9qJLM1UpEYVsyz0+OIDhJyG6
XPbvmLbKm0EPE9ZSdzzRqeG8RXbjett07o1X2Czxc1hl6bFIh+E7EAQTGYe+yCjC4FW2nnce7Lrd
xD45c9e5i0ervrf7MccHk/XviV3Xz85oR/um7Oy3qq/C47xcN/GWBgSeS9Z8VzK34wg+Yl1dhy3W
v5W0JejPCGcvm+nqxhnj9jb2quolIPtNNVBudowQVDKvTazwOxw26F/mlKyDnLUriA8LWZ7T4UbY
znjQVCrz85oUfRNxsIZnyMXqxJQ1EZUzyisCgBQv60TcxLj3rqqC266OdHNqe7Vcf1UCx8itKhc9
KYz7Lb4W64OiZOvDcyf9QTVJfcVKasSAl5OVWTuiz7Z9ge1sU7RtQ57LNYenuImKes9GyczWhdOl
is0yzEOcUux+AzuhCdOmXH3TFb1zJQrVbcsMg2mHKanYlEqbzqbCB+gtVQfVViMOxbuZyoxr7Vlk
iDEG2m9KctVH6kY43KQO+I4V9xgDTT4buDQ1MeoBQfAhuuAkKF9tGYX5mmRRx+K6L34RcVwU6iIU
3yUxLAfjXBu9jQihEkpbyv1UkTEAnpcJhh6StqxWI1AkTxYdmfDZrOG1Zu4pTrHPioahv0TIHEyn
2OvcYw/U+dzr8UNwDdFOpV67yMkZXrks3JoVxDy7nJZDm84jDsYRtM/a0MW460Q/dXtPmKyLCuEb
b240ImaT58DBSJs9/cUuew3zEMeCm7NNCPN6yKDabUEMw1KG5chuvDWGpNlPhUcgbhBO+UAsBf/6
QLiKiy+C5A+zmdl9dQR9ojOcAqEfqsg0zqqZ8x1GJN1sVReFsIDrHHNdyPJpTfdu9xY3XNHJmhHA
WA3dIHEwIPZQ5GK4sABaJ0hXQWYlXL1smEkCof7ERds9WpZGmW7R6D8bwy1eCHO22N/bKVvDIRyY
Usc6u49TFbx0g99eZb78BMbSQEDx7yUCM/lYJ5SKAqnS3XVm7p86pxu/TxAECUB1vfudaRyKWMgi
6Wi6ISGVWOHYCa1e3QeYKr3bMA3ACrD5s4gWgqna+QlIsW2jIFOkma9Za6jJHdbIO8kTGdnx3AZT
+GzKGPZBl8l2U7GoHVYDF7gP9pbMtv4wavb1oExp63EQXvtWcS9YuDo675yjYdBrzQ3Q9V4rdK/H
SbvpeciVMBYtiTdgCR112s9B0O8DcJBPXdtFVynCQYj0bSbxtqCm+5XQEj+zojnyxNJLFvTGM8uu
WtxWJzjI9YvnJrk8xgqLwDpQ+YCrz0esWzdmi85U8Isz7AzLlWG2/IBOH2a/aqMH4T7WyXxdGKyf
VhoQ8QuG8+7MGWq9m5aeXgbT844ZezpykmpOOHvZ/tChkjGr8+bu3ihGme/a3iZQBeyJMJ/jGG/o
EONZTJ75lBeahx6OqH0QF/5zOI+wEyo/u0O6CNvNMDo9Rjc7v8KQgjG3pGD3g0NX3yQBO5eVT8b5
ue/lBCAxtsvvRlpWR5+9N+WgdmU/OCxcaDMn3PMDKtgE647427IcXRR1EXiMCn6ns/eYqHC1N/oe
3kmiJz9dJXHZ1PuENMOrzhvk1cIsPlTEtuLFGgLiUs00qHv2rVG4UFJ5JReXCmyBMr31IwuvqQ7c
5ZYaAiEJdG7DeqKVZdAR4dnWG2hdp+3YSubsB7+rMQHv4FXPQ6t5CvRkXSVK3X3aRCTS2KXmDcuk
JTOSwoa+M1SKHClqw3yuErgMa1rs1YXFNvI7AAcFLD1u/O6iQoFZLEWH0hvuoBoEAyoST0WE0LVI
o+A1cFmJ5wSjWd5lvKq4SKrnrh3dOz3EGKy562k4G0V7a+F0vprZ07Ja8mR731lZdT94xGLIupli
5+Ll4RNPPQd8ucm9QDvCHCN5wvHOwMZLT3Rn7SxEajANfRpvk9nUTLQW5r2WdesNXYm4k0OvEO+z
pcpnA4zIIua05rXbjLwifpbWdIaOvEKVrOKDBWniPY0z+ycudn6s0E/0sw83gtc3mqKNkir8iSmd
pUbW+c8xkd59xAKMw0+L63S2k6tswlS4gTw74+1NnANPWrJkuWvlRBUTc1JQBFv/EoD8O49Scx+e
hdIQiuKo/Q6YAgkto9r6M6v8/CPoEvvkBEb4Y9ZiImqLgesiMLdFnm0eJ4Kq03+ban7rmvtXl0aa
LLCk/uNL4+kdINJ//I/3vPpf/3F+R0+Nmz/Za377+t8vkO435VE4x0RgSenYfy/UoMSOm6AD0990
+R+0o79fIIlJoECRsUWvIduwlL39foG0xTdBK4WFBEiG0HWpIf03bpDyi7X+d5uLsXh0sK4oZ0lW
/Cc6fCEoLOi6dt6DGUHtNoLBYmoDEhx1MeZImbrl1sekDfnNoNtu1aGobHna1+dp7IMjjfT1boqU
c+0WY8RuYVQb8pfjIeM02Ro6YNipjNAqkXusfhO0QGOGAH5bXdIFmJNdWWV8jF5GP2v3ClF729Zm
dOAkqm+sTqQvYRNwVhKl3MOUJrMJhxK51PePxUxVvR2DDM6LqDnlMY5Q7Ejxu4cL8qxirjMbsBsg
T9uS4d5LZLVPsUzv+gnpGKcdM+0Q2slDCaMK7w61zBeAKIy3DK76I1ReC40Ul+GjLgxQkNSlTee6
7uPzBDMNXvRo7ALw0XuWSr8kidg1LmcEdG4nmB1SkWI5FJUEE+EGPyFv9DwsibbBK4Tt2BbzGw/p
ZDsSGDtYQeqcUhVN8DsQIc5t2Ab2mgK3lp1A95vYnDtXRSO7VSQQPSGvB2cnUdUPyX0B33Nl0IZG
ED2BzLzx0WI/yqRIX5QzVS8hlW8HU1biFZ8uoU3TAbsYkzTZw6EEe1hxiv9EIQtOdseicx8pssyA
M1vnOAB6o0mVVPCjYeRqvJolnsc9NkkYztY8HzLu+SFnutGckcOrd6OibW4lJMFqI9d6i1nZXCDY
fJe4ikiadDbYJMZz41DMttjyLLE2c+ZOGxgGcL5dwVIvjDtxj6kj/6wHfgsb0djVM/XOsFg9kp/h
U2sPrHjyXjCC0yGu4ImYOc8umXrhTQ616OjndXTriJwuuYr9EL9uWC+8bE3JrNtF020Q4gpvG65m
km8pbht+xPcuGbmFOOwgN8VUE71Xhh63hTGUO7D2jL8Ff8oxksa0yyMr+Jwql58JRp3D1cOKFssA
b5WI9X4t7pXbBu++iSFrxWnNP0ZLbOc8dhCu/ckHrYtefQnwDWxMVTZ3pRBwtGa/suId26hkjWoe
38cyCz+RL2hxh5e1ncSyqnVK9n/EGBtNunmYW3vle1nXHRLPMH8FjjG9z9FsPdn8sbBKDcv+ZCPu
8ZEmnotXHsIMWxOQ+2DO4xZmc9UjPhJiKFg8ZKms4AdBzSo3Y+/Ig+/kfbAThvLkbRTPVbyRfRPC
+kpGl40IRdvRltuE88A6HInbrozFbwYpV2wxfnrQkMfO/BgmFgGGji2TgXQOmw2UEXIohhk4J2tS
IW6RzPfvs3H8KUzS15NFxluyvjiYZqbvRxYNF3KSyMBWLbHJhT6dWV41PtOeFb5TDBpTEdukx2oK
iGqKDuE/c/ViIfLFQ1a1OX/XGQF9nQ8o3ryYxCSYigbyArhBCcW4fldth2buDn5khA/4OpBY+sr/
oMnRSjejJqPkqzj6AXRkwAyQ9DsXLML1XIXDbVyAaNSTk98m/hJ+DxuDrai0JvkdDLg9QrSw4S/m
s1leMn5J3FnL8DvfJD+Q8zRv28RimpX+d0bkapvheb/MfVaQXaFJIu697KIn2/nuyRCAXwExEfAq
hqI14YZ4WynOHibLtGfhi7Nu3QvHOXL5K09c8ats46nlt6aVCC5JosbD5MbelrSvWW3hywQXmACZ
WoNRXjJDjWqr5bIN87GS/pOLnwh3c+vfl3N2NxXFsA7HsVr1Eu+lY3iYZUanqx6x7PnnvMpgYEoZ
/yxFJLkYzdPW7DtzT2olO/aJDVqkJfsLlzQ9iBheQOZQLurU2LH5qDdbgJg29kau6bWWxskNR/mW
hfi0QAjLZu9Q3YvEkMXXBufeVW661o2PY3ETOUG/McumvXc452/rsA/wAZSkqPuOIjR3iOSt28n0
0SLP/WEpsFUoe2m/7Tzhn+d8TA70fsYHnFXspWRonCo/Yk4bRAGWamxHQKlDnlyF8DHggdvD/CM0
cAJgz4/vc5anR+5fd/5MgH7DaYlOx5VOvPHcBsHVpFC7HGdy72aT0ZqIxVCva5+QlKfhqNJ4rMfn
ZCyjT1DS4T3jXfAoKuRJPh2D/yMcaI022kZesyVr3oc8d1+6OGk2DMkeQYkpP0iJDsj60ILpRoQT
fm4/qLscI9mFrLO7yex5uPSNIVEdI9xgMrGCUxhCoJ1xEnGRieNdGM32URt9iHxqUYoHXSS7d1Sb
ExlYFuxzFTUfWITj6Fqofn4HrQfmQyNRCra8pbPmnjpeIvIM63AKuN0zvl9mL+/fqGdNdqY0uT+g
E+8hi2IdXOQxHE9BkK6pPS9ONeDz65loZ8URWIsPuy+XHRnHL/f6EkyHN9Oo2Xntz2D26FGdC7Hr
h9o4zQQfPnKPI7m02v6hCXkMrUiBp3tbhd4Jb1z6LmIft1Hhi/AmBBWC/EJV5652QGqF+Iagf0lg
vS17ojP7Ievc5+aw8Q0QU5WdxPtJlpx0Bl9zpCohveAZHW8TKH8gIs2lcMureTV1/YStq1nnPE7W
IR7dQzqW7f3gNMR5vEA9tonf30b9YB/mfOJ5zV7j7BnudWRaxbHtqeUe57bjo5246oJ1IPzxNZv+
3043/0Nv/PIH/WGOZz3x+x+8WM3/9H+2XwuZu+6jme4/2i7Tf5tLl//yv/ovf6+r+1cTOm30Hptm
xuJ/MqVH700a/TXg/Pev/G0+99Q332GY9hWOdSyCyxT+24LHWxLOJho/UtHXpuaPBkxC0Z6C0UE7
skdbnsPm52/rHeubT6rZZyND4MNhPP93pnNl8Z3+VIGDlc8Drk0XMz/j4oL/85RuomOHgTExpVty
btZZZ5Kjt3zQV9sW/YnPhxO4Ly0utAyLlBvrbdWmzEjh1NDt0eL0KFjp1/3DwJHCsOtoZ6czI7/y
xk7vrCHS9yUU3FVhlcM6cXJ6NSrO2UNEk8GZHyjfsOAcDoOP3/RqcrxhvLil2ZwraFMxbQhdSBGH
a0fxJqPaOQIEqDBeJ1GZ3ROzXCx0+cRdFWopQ99Yw+/Zl4oTBwwKEh7ELYc3PsqFxzkMwv9A0W5y
33dOfUB8U5hmx+LVoSaOTXFgdb/4y1HG67VI0G5od4+qdamjhaOJzRe0UbAfkDo5NQda0FYDeesd
964+BFlbq3JHk5oswQ0F8XWsrcW3F9WLDV9VM1DilILgVcB5jjjjpYE6JHikzIMEv1uwapGxWlBb
SGbQy43vZRf4+JroOriUQYkXLe/iC2F0jAtNWar4PIIrnjdeNhHky23VuHD5G7SvEkrpaziU3VvG
VQHJr9Plh5gN+zPCvGegwlYVQJF4ArrII4OJym9R/2CJTTSbjunBMsRwa8wGxdU2XqNlo0+RNTpR
tmVRY7y2teSUAbsG30PWrXtrCCeoNkKGGb70tsdBGJR99ljaWQ+8kyVWs5azSyvR0n7y6Vamn625
U2RvhPhs7GooJXB8FvWNXD3pKNKGIMoStdxAusDwzxbY9p1VFT0Te1vfVpNRcd6Ribd1Wd9HiWde
1yxlDOguST7w7HdYdzjwy8xWj9dEnpCYpho6VVkpyqobLbYUL9I6MFYYm2Ov59lA9GOvZV3uSsea
dlGYUjYyBdMV2Qef8FXaPo9VGb9IP+FRa894h/Dye695oOcHqxzHWxJ2wMM1GenU8oebBOv3NkvZ
NUjcQVfITf6u43vtFY99OnAgvRHm9jadxNsctvxIw9wQKYA9d2WQZlqkwuCEqlweRB75u8J2iz3Z
xvy5sSQOfM9mhJL5ynTZQ5HeWNX9uUdHYmTP42nVDEN67/eA6eKIv+nQmd4m9uL2XHMb3wQ6np6q
sCBJ2nXjyda0dkTYtde16eLIc6fGX1s5NohVKoLwlhDLfGeLHi9WkYw3vNftPV00qtpE4GA/Pbwx
d/iMxSbhLv4wh8P8bOSUqmRqwfINSa36lT1WxXMWFeJFlgm3Lhhcn13UJM8KxCkFat1BQlu6Scwg
HtZtqt3bSeT1Ww3L+65gD/RODNAp17VQ/oOIOwhuUYZLNUGERlrjTMGziZq5hWk7b0Lue+/DjBK6
qoxWPglRhzd49VNEyz7/MYaJuiH35n5PIqPdRrkTkPd32/7e9lRwmCqwt3AJsl+qDXwqNtiDgETE
sHeTKG4OK99Mqk/BevN5eSM82rOaPyM1DNXGG8zsaa5NdTfl461im00SJkKAXbP+H/h7Qs+E++VZ
bzZ9ucQu5Fg4G/z+AZ3gYGBwM6b3wRiHHzlXalrU+3F6Sf0i06uWo/lgu4tyyiBnf6ZNiRER6AEx
9zYVFCExp4l1B5wA/pAT3jd5WLy7jeTTD1QasiN7+luTRYmAe1dgb7S88eKIUFvrcF547JWGkoS/
fSVJaG6Fh/GKgFK/apqp3oVSEP2VgWxOMyHNaoPFjit2YbGXpCPEqbfFFHW3nmVn2JFSPiSVy54X
D7do70ORUbNVsrlb9XHXPiQJMEDXBfaHB8o9224W3IeZlG94xNITzVfBd2NoH8jKjhcWWszuFfvA
O/SXND+UA4DAvp0FZjI77I7Um1OtZhmTYAkz2Rc39fRVVqcRypKL7St1Rv8angjzZDIbHS9EJuc7
VJpw4K6g9UNgxtljRPHNd5EYAwCsUOExi0zoeslwiqXvXghN5Kc47fIQwysLO0IM/k1eTNOhL0lD
p0ljNHzI+oLboTnEBmY/7Ro7D/Orw8LQr4lqTuLJRXi5C+sEihTuuNNElvl9bGv/3cjsbs/ozs88
2Hbzi0FZYaGOxWNvcaeaJU2oXh15IBSa6ie1DMM7NrGZcdd2tLdODcrfYCYPzcGFQI8jUWd4xa3i
M2i5JqyWaQOuBwihvraNCU8ZGowmj35JhtQG2LC8ohMj+EoNTrnTYHSPUdSnKPXScFmyeHm1i8eU
561X+fW1H3G8rGrLydH0hn54Z/mC7BEB17uP9NR92j1k4xsrBYXH+06muDZzVVwFMa7oooPQ2bAp
5cnetM1dUarcX7cYoFdwRZVcpwyrIMJIkPL+d9NrkBvsKKK8PEWYJ1mGgaf8xQ4oaFew6QZwRrYd
n8nKD/5OiN58clUWP/PMprOeVA3rM+WX/XeQ7c45y7xq77uO/+RHsHAt1ZBXhm0eFutUdAsqL5gx
nvVt8YhfeJETdZucUd1NeY7own2BvOSOm9FpjjEhEXB7bVGe+naoz5AKxf1oeuIk/SjdoUgi23gA
zGZun7dz0fKC+By6K0Np/eL4Na2UYO1ezKFx95mumdVnL4OB6RX3OPvkRTW2oI/Mbd0XLZqIRcUA
eGLFltAJjglU1Ks4iuLrLKjTlxLzI9l3XrN9UBcdrvDWzy4+RtM3n/UMWDL31ZRZtZ9cSjAp6eTt
HEoYKE0lH1kFpkesMRkZHbtqJTH8Vj2R9O6KbUWadh9BkXsrQnN4JsrGTSoRTXVmS+RvI24q5grA
2ngQIEBPcNK74zQZQHM1XTVBYOxiEjb1ykgSyo3iof8+UTNEsDEF0J/ZKn3zKADTqMK2d2gC07u2
py4Sm9oy+4/Aaf0tocF1w2C0NSv81Jbdvhdx5R2Ggbd/p1PnbGnvERYPWELgjJbqq5eGXN2+l40O
V6r3OLGS3jH3ZN4QT8oszB4IDZkv9WiSLcTfe4jRI3Ou31Z8L5aE1qkzSE6uy67SIeZ5IV/9Vk8/
KjiyMSTB2GDVnPmc6kketN1hRuuK1uTymjUYY9Wu+TVDEwUcy0YYD+NbXLsDL6KPLXGicVDtgwQW
wRx16S2FC3xSfQJRm3IyjFu3jB9JsyuK4mXwGJuJgrlul9wl8WuzbythPFdmaWA2zM1HnSb2IclI
ZyfkUHY0x8l1Fvf24yCPAS85+B7+87x1rtrcNC9cPyX+8sZmg4jTWBVRfgTYWazxrYa3raerjeFa
1yqPrWuXURnVxhzuAvrtL+mcWbvUiI1orS2esYjtAqa/Ql7Z9EEpWKr7ybU1jmBe6kXMMFoMAYc8
DfVVMzMsrhquM88OUFbqDOj/tTdiKgw4JAyIzxCFXG9jjzJ8hpoGMQ1m832lBpFsbFyb9s6qi4wC
I8Ojl9oBA/CUsN+/xhAd3YZKQ4V3wmmyOcTG+eQ1ff3aupb7BHB5uriZIgMli959bt3SueOwAwdA
Gi964wNs7siwFIzQBsoen5niQc1jeFVhuOBE1aXY+HPlnRCVok/f7XPAppQ4U4LFvHks6PSJoc0u
xm6pdGseqlyLHZS/NqJoprILTs3JMjYdxgHc4pmo6/Vs5vyWdBjaa9m1Kt4qz3YEjGVpvFME1T4U
ODtJjjGzbypyWTcoxN1bqdyJzoZ+Kq5okVrX0nOh1iQGI84E0PbGI/301qYjN7QIMGZ+0xaRSfyg
BvW6cSLJxtc3AraFLKuJSpi4Ue3DWFmSSZO3MsYp4b8EquOi06uAivCUzD+qZle3eKQyScAQVIgJ
u3+2XtrWkOFeu6ZHP8Uw0HMnwvipJPg23eVlM3U7mdDBjbYUlvDjINbsAlMvbl8F2HeThbw5brS9
bN2zrGTZ7bFx5qGX+QPPqumezwymcDtnUaIjMNM4GHISxjgKAYyfRywsLxxLzr2LN4DyysA/F/2k
H8YpbVOmqfllmENlsGqICT3PZaLXDWsA2ixrFzze/1v14z+LH/9/kQEo5v1n8sj5owH/9qe9JSww
vuQP4yvMbkg9Fvck9DcLreUP4ytJBDQJVubid3fr37AA4psyye35kjWCciGn/qGMeN/w0ZhgASzB
91K4Y/8dZUS45l+UEdQX17GYCk1EG9tGaPnT/tLvmAXT1MLGGWgi+iWPjq50sTExw3WXIiG5DSZe
nF1E5wO1LvrIbjGloyaHyQG1Tb/IgQzVqvCi5NWtGiwrJjGuYxZYLixFL6WHtibKvQuhuN6YkXa9
Y++6Q3xpnLr8KWenO7cFyfZTZ7oEa7sy7nrGcLqyuE5HbrrVZABoMoorYF8Jgzs4xiz8VVSOk8PL
9Vx749lJQ2lEtjyAp34ci/NArvyJWTqh0JWY3AUCSnCe27rpTky87ks9D4JjQHiPbWQMN+Ws4fv2
S7gdyFF46i2PQrQ4jdplldP5J2Gl8zVdrsW4AiEdkxKnM6E/CXZjJluPoEFsnyLxYBbEB3dp6scZ
HVQ8D1ZpaGHQGhwT9BDu4DG4iRQmx60TzYxkkNIg17X1kA03nLqqvYAK1NDvuIBkYIhSnFJk8UYU
AgI0lPUlecVWj4mWKS5ut2Y8NRdAQqZzKDnp5Nq1l2ypBFFE6EhgZwlSEUc7ckaZXkNDWhi3KLPD
yh2q9GdqlHPFrqjLys3UpvwBMsTiZJK2ukmNAEWgUPKREF1/mAKWNYRY/VsxLB602E+acdu2Zvkk
bBv1CU1iDPZu2KSnqhkhg7PmGnEcp+qOfLr7E0M/+4vO7Zx8RRiTl8YLPTp0hsTNtowQ4qXu4u7F
Cx3Z7wZcWh7SA55JnjiqPnMBLh7g59T4XLyawaoimzYc5aijCQMl8BfwrUQGnK/4AEAn+x4nVXlw
lnRB+xU06JfMAZkK4gd00kFNYLU1XCdLPsFfkgoh29sP+RVfCGaHbBDpZGINbTD7R9kbybSpv4IP
3ZKBkEsaolZLMCJ3TZtu49mnu8D9Ck8MX0GK6StUMX0FLLqvsEW35C7qrwgGEcb21HrzmG7YFxLS
qL8CG9S3dZ/uV4yDLEYRgEdf4h04owDPiSX1EaDosg6wi+AuX1Ih4isgQticz+DwFRxB4iFEEgry
JAv87Ff3FTIhvo2YEDhdsyE7Txp4BevYS1d8ovMH34+pvyR3l8JGzHJByI9gVPJcMXzQgc0Ot2sG
hTHQ9auzKWqftyO6xwQK62C2ZvJciIFCwGKatyqW8yX024ywKJGXehRBvY7TQaF7UiVj3VlNXD43
A2v2nkez5fQDxF5bVwn3ibx4WABfOmunfp8EpHWPGBlopEgT58rswJ2vtFeYA3+AHcmVCTmv+mFj
Ab2I3mJnjr0R5JQhgnR6xjCCiaie4PZhGp5GN931HaB/FAGQb4txKI1/BEYd3Q9d4f5IMxjGGyJp
lO8NU1bMNzEsJ0BffGS6ne9ULltHeEkYSn1f297R9eduhuBOnurKMIzkWU8aVHtta4dszkhKLlk5
keiwVOmJY34VtBEcijBFQfXwf7yXY3Uu2qWWzmQ/SlqXhkGgypXTSWQUh7/t6n86lT+ZXdXV2zQf
q9tW9HpvVbiH//vh/l+JtUjLE6wC/vHu4+qd5QfOJN386Qn/+9f9vvkwv5Gx8E3e/OwqGO2sP57w
4hvPVryk/2e0RYhvoOVN1iS2sH3oNnzR77sPy/nGRODwXLaFcG0cSv/OE94yHfGXR/xX3AaRfSG8
mviU/rL8EN3kjVoY43bSlegPFJ3FWBMgsa/mSH6GqYaZrXM4mJvR73H0e19pSusrWGkoI6ZzIvGA
DcC7f80nioyu+SCRt7SKlgLk2rWWJK19VKPkstV8RTyzr7gnV7OsunOaOH4xqCEIH2hqHco7jP4Z
3nu4LcARZMHJ1hRuIDYyG5qGOpzK9whmuHieARRij/VzQUz1t6Q0BnyIMcix4W2hQ+uTm6Lc4qQQ
/rpOO/9YL0FYPJOGuO4Q1vONFQ2SHEpskQoZCFpc2NKTrnWWoK1VNMNJY1L3No3DQuE6+MrmUoRp
pvdE0l8pOpus/WCY+JJqJUAPDIE7oTJEnES0kcvkInv2uOviKy0sgD40G6KWMlnXYUJQ2DNyd4fP
hLDxJGClrQfSFslNa5vwYoCoPLk1xl7DtKdwN7denx3o5h7SUzNWHYzYkJscZmbJfWTi0gZ2fYlP
C22lJOJM3EwGT/uNXhLXw5K9VkDGLlbzv9k7k165kewK/xXDezY4RZBceJNz5pvnYUO8QeI8BBkc
f70/vq52S6qGyl54YcBAo7qqVFLyJcmIG/ee8x0/vhkX13aLfVs0eumfjhmWlwyU6lYGqFdXVSd9
Ip/y5Ik/DTBSHzXXKF/86ijyGjP5/GUsR5Pk3hJjPUcXnNY4TyHRdIMVHQYs6az2xrgbKolfPUSZ
N1+42qMQijyrlmtz4KB3aOgvLCS+odt3dRQSRt+MU7AWX0Z6H0n7dTmOFhFZftjibzE1o+0+yCH/
VH1tHYQOsOi3SA2Co0n1VJ/htcdbT9HX9VtCQUvaMb7WG8shnHobzTZ/r7+4AC3DtHA3ZVmfH82p
aif63yiOQQnXkgl+VI+UfrGRH9KFP0BssXoo4goGBK3Hz6oNrfHEU8eZzfxiGvQNJRQ5QBX66Mbs
FoMSXResLEwTTcPvC3AooTylqem814GFgI/oBFibMfJocCCBzR1jllidnEEvnqG6yc41oQo3TeJd
e8A6Htq2GxdFCtGDVCLxyR8Gz1y1VlE/+WVq3dKQbV9Jkpa0ADP6sTSeVmQ3+TbIyp6aj5g8bd8n
TQTgwkJRoNadWU93SenMn0WMKpjeUIMovqti66oBOQ88A5ndsLUJCe8PKBmKC1QX5FmMoBjVxkz7
4kUbs7oKAOGpTcP0od6EZpARPCUc915Ncc0ebBdYQXzkDJp2cSnOXV3GuD6iKfEg3SFdPOsc1oRV
GxXuRVNbHWSXuJqwYqVF8qqDyh633gQEWFqRMaM3m2yyhskgwl5lho/GnIf7GQPHuhir8jOvDQL7
mhjBReiOT0GPSV+1qQ9xVTXFy5RHvDdENqCRrgQDObeozkoz7+9bstzjVT7lrAVk29Lvdp1r0DkY
md3ASQ9dj96yhBxNqiMhCMVBmcp9sIqsPWunISKM146D7ax1Ht7QfoAxCD2zD/cBw0LcHlH8PtYG
WZQpYSY9uhCr4/HI1T3+N+c4zt7iBctLbBuxpM/vhp7MP2uB8NKhw+NAACMHpLOi8kP1VR/s+hxh
/R5srQ9ZA/M8Xu6h37q40C5jVRnH0LVhbEA/zYe7eiD/fB3jLQdVjysWkTv6PfzpJKOcelnn3X6c
ENSCqjTrdJM5roQXFPKsroVJ5mpPytcVZtqK5AQYFVYUeuWDn7aLzmrkRVkFEGU2oVEJscHiKf2P
wqAJlbPo70Uz8HjGT3NimO+6y62tb1fpFgBGg2Q/VuTjgO9gCV98V0CHlhNGoqBptzTZmeoELPv0
zk7UaUF5jxOBMwyDv3nbuyq8Redh3kdTtrCP7MHrt/CSk2Gb0/m5MbvQc0G92YjifU+4xpk72+mb
pEvX4x5DOHjhOuG89iOWnDXJeHCs7cSUq7lruuswyaJ7HPZlvumj0WLu5CTkYVpiwVEHghhBxK3B
8BBwiJtZr6wkRK5Oh3A71668yUdl2Gu4WmRFJ0yd6o2cFvuxLeL6NvkyebE2ALnBzy1Jm+cIS9wF
UgymaoCFtiWrGbNHLxnPMp2YBx7m2YDyBBBvHKsalib1QXuwoUeGO63gg5ZESH7KMVBP1OJ4CzAf
4CJQyfyRuUhrsPkLG8pK2vnVho/QkHe7dD5apZtlDHZRqi6EWjWtyb+2wYT6y5eAenllDlmRXrfZ
PFEgNI7zRvbewtjBCnY/4ey5qMx6cDf00zMGvxm9rABrK7k7HqjakT4u08S4fxxQGRGQSGG+Mw0w
fmlh+qC1oEf3F9lC++5n08dsloKuoAgGR3IYZed/8wYXMqoTWZfhEAP/QJoLiaqas0GtyiGaK874
nr8CrB6HV0SpjdPBJcgouJ7AApGpO3jxBWSb4EWKSdykxAApNEfjytPFLb3aZFEp6ngTwi7YOyxy
mzDqjUOKjWLBwryndd6vk5o10zbbzHnFf+Yztrdn/0nT0f/e1rSHY3es3iBYWfEaLl92NMfFBLxs
AGYSpXcTQR3rfOjSCONmka770U5uDVV6J0t5pr3vHU5bRSTjRdwBoMKKlsyJcAKHPIM4W7kcR+kw
C0a7XjifDDVjoQHtK29dJCbZa2zp6Fz2CKJlFc+HkUPxAjxljAVrH4tazkXv06gaaFZYtt7rOBrO
DPq37tokcRScP+GsW9JqvMteGc0HXI/o0x1k/BK3071hsbGiUY6YYno92XzJWLsQtaQ5U3p4NeAL
1qIlVmO2+yNqFPmujLg291YJGvfUp+nRcnHl0wvxb7DykXFB5/k+hyf1Kiy6SJdOqvrvEqLvQG2Q
2cWV1DHQrjgdDGg09pyB1fOJNjOtobJgQGTje2RH4PbdMukfK1RhyV5WVvWphGM2N3TkPW9rp7TP
Tm7Bie08CSy+xigKumnl9mH96UR5z7TBteP+GIL5kezOGdPT3KownJWl098pFHE9UHsDOkuAwv1Y
jbKYb51G3fakDFUnsOjoOnCGTTcc32BcoX+9AA6UHBIxteY6HhuUsjFbls51AWzDjcdqDSOC14RC
XF8ncxMjI0VEV6ZGcgiDwblCJhWDgtNDtQXt1KEgqfNtYOYRezk1yCdW5vFBlF68pctgb7wKsAcL
r/9oGGU4wYQxfX30y1yWb2QtBvWehTa4ZxbqfnbMPGvy1pvyqkPq8tiN8JlSuv7WyUHziaiGiLF1
riLrCXmN9Ujqj3HZakH0a95HkF6QMhR7UUg335r4YVbjVNdq7WS1+8EGmW/YsvxsDUvRedJh+2Y3
imnQ2Oc0nCMb4zQMGvVkJaI2UFbFzHMERm0SRJOpfFRRF90PVQY/A5h5TCPBFHeDykfh8yQr+xlJ
kVoHas6HD+0i9XUNJEYW3G2yMqc30pRg307xXZrZJBDZDiu/HrGPnBSoU3kwZ6ufzzPQWSjL87JL
L5OKwJ5NMBgIfg0XpuDBrls57/i7wmPN8/p4jW7Qj3aJ6upd6ylsgt3s6/uWRHOxTuzIvktS9MAo
ftjK4ymrbyHSR8Rq1zORX6CJiJZgm9+Uc9dh9E3cddA6tEfy1kHuTVWQ5O43V0rcZfXCk4kbPyXm
NsVn+YTIMQayZDNQw/bWUBHO4N8vagz11+6A16lI69WIyGELgnk8YZMkhBnRyrpvyWCFVq92eE5I
jYxzj+QfJxYCbVCgbwcjnPeRbSfPNd8tcYBLYC+amqw6JEZgoJ4qyB3amjKmZ0VXy3ihI9sZJ1Ih
YWwi+/YeBvjOCPhhQTMXaXrAhLlPfkfIRnsZucvhrPJacnLaIBjvkgkp+K6iG8gtFPMLw/Xh1eYq
5CYdUGaufb5vsgKYt+5dpxlfFUoMk+NY5l4lMWBGClxW2HRGIz91TXwKnWr8VoRq2kkSpY+NhYbr
0AeVe8GhwQ9PKq3t97SqUdpbHGc2FBlQReI5oHe85FC+jvaCdyV027W5i+G2yBW0kIA7poGAOlm6
5WXGhclctX/n9ZXnbZaDM4wtk92dvm50CON4SYaI891gIgLCaSuKK9ukGNqGykysUxvEodxxIjYJ
20yMlFMVxxu55pA774FA2K9Cs4GtZ91xfoXx4i5cQZpxHJQCOT00YUuwD0KFIN0lTLA+e9WIYx93
1ksxlrTiYtEcspplfiYiJVkhfmatyXS1ZYacbQrhR+nKLoAerSfIZxWwNdm+uoYKryKvF3tpNfEj
rJzcJ5WyXqb0eHdv5kZX7UlVNsSXNgglGKColFu/GBcL8RAB9untiLoGg8t45dd+wLRXJ8Fngrry
zmmjhzgIyEUSqUSyV2L7K+rZ20EtMvdYXvwTmUcA5l1G/PWY1Nder8xN3UjZbNmbAYlPiGJum8Uh
5TQdQe9JmbQfKbQKvcO8pZuDp0tSAq1Yf9Z67q/GBpYAP5tJX03glGKTHifzDQu3uSFxzfoOVWm+
xVBJ2kyeyHMQpxK4WMTYMw6Hi6on/dYLBKmbAmj1WhUII1350XYUPBnWYsBdJYhaYkcSW5n7NsVC
M/TSeZrn+JPHDa4efpNVJ5PPvMcxiauoIOgV/XSRUiGPlrx0CzjyhWi5oL6qr3224R0sjOiVmgL4
P4ufvHOzN7zmGBF4jij0S2dDVEC5ZSYpjllp1nfEwJv7xgcvxsK5qarW2VtJ6X128EcPodm4R6fO
DnPpI4qSXZZualRmu5QB912DFugM2Jf5HjRueYbqaXgDhwOeJ8ygcwV6MvGSkSIWASG3ho+ZBjyp
sJmlQGkK/6QzRdGlbH72dY9s601k0p+2s1SCtAEgGsSuWttMOt4+XeIja7CCPCZ1dj34znSJ9gmb
jxjy6XyAhBzAGtLztyltaSRnVJBr4Rb+PaEj8nyy8eTItnQ5E+fwj+rM3NhU8t9yY2z2DX3XZTN5
VkHboZavRHfRShZRLdMqXdeMNcJ9UQV4Zq1pr3KfACsdj+gkFsxJJmv9QLmraFCQ7rsev84cYx1t
FJrG7z4Jt8DSqvkWqNr8YuWRvC0riNIrM05bxHYugZCl2VnrRLBc0rnZiyo/DnZU7+Pckldd5uKF
BwNG+KCoSoodo3B3TgdzKfK0OO9zzqed56rnoTHPPGuCI2gKT9xif9cHBsPjDeATGkcIG5Exldmz
ApPwHAKC2JCH3FxCaCJ4ppxscoohpOXtwBjaJcehm8R1rITcCi9JTjXiLoVw5OCM3iVMsmHtKs89
m4RtUUgFZAkIkPmlTdBtDi0PvGhkbHs2453EnrEGx1ucs1Cl+Ma0/1QaahkUNAzrEX8kuP+ie9C/
Qb9PzH68B6zR7oa2gtGkgk5c+Vj6YGemcroYcgRkrLiIBp0y3006Uifyl2v7bLTSWm/ppkEsjNsX
A9HqvZBKG5xV5vZh7gOqvShzUKWk0PWLzOSuzggKcFasmzLSW6+FY31S40AZMsTDhjRMQZ0zZ977
WOZvMDrhslRQQ6Sei2/95IV71ofqlpHeQDkUGpe5oyAMh8OTTtlYO6so4WDHdbUHD9HDjRqhkeTe
ZS2I2IDs3SNzQcmEEy0cRHIG7Lk8embjfzO1c22ElN0tkxwKsnC6lu4ktyMN/bXV5gamjp7+kYFh
GfLNUY4zvampmuWjtAvxIsi0Mlso3H3UJWee0siSOG+AUKOwhS4qpvcZX/QDKjvz+9B0BueBQFx3
c7JPpZj1ZW1M2XAR98wm+bOQWsz5hxKW3W4Npx0PlN4T2qq0uM5aYR/AiaptYxbEzZCOBUthgu7u
aytcTVMbU0kBXrAphz0guVmKiBsw6tDdmA5WxpVgTBrn/68Z+O8Zn70AWv9vxgrnb1kbv30O377V
PwkH/v77/hAOuH+zbGq6wFtmAFgnmMz/IRxgdmBalMiuLzhp+wtL6x/CAQvhAK0BfBZ4KgI6//81
VkA4IK0Fc4URGg6SxPTxD2PJHxz/3yGzlli6HxwV+CkCAoc8z7QoYClzF6P3j75nUQ1h3DhgmuVQ
nIKi3eOQzM/JxHjVLfAC1zMh62BNSJtuH/oA3SFcPVI1medV2z87Q/rS1Q3IgHnajxC1D1rpa+SJ
sOwlNXfFdJuMEGDJjciftY8DjMbjM6pNxobTyQno4ZadRPFdsyQP6dUPd+OPn/bfwDBeVwlxMf/x
78tE5J9m7q8fjjw8VBG4RjwGML/8cKmZI/ibKnczFik9oQ5q0/eyqa9N6a3/Z5/kcicFCQmBxf9c
3O0/f40R2SpeXxSAea0lyBykfWmcT5qzD5vX7z/K+RVyJl1GBQt9DREA/2dDU/vxlmFbHAoDz9em
lP0HAWPeGrD+k54WkXRgHcOebPacPsPGVLLeeD3hc6Z0SUGIVAzVZNCHuVtOnN4L/9V9WRYXBqf3
jRDNc2QMZ5X03mwg44xKN0JW7w1YXDZuPO9jqc4nN8JCJpJhFzomxsqO7LCWbFjdZ+PWNZNhE4cT
3bv5RankFfEgEuMM7Ozvv4OvSKx/3lnmbDiTAsGMTGI3YqlcHusf7PohGekogI1gU/n+Pk4ZYhWj
Wtex3tVY0YPquS4k3jxShVkNxwXO4vbFZ47r8fcX8vVBP1+IZ1nM/miYuhiTrF8uZIrHMSoigfdX
I54AZY3v1PCe/ajFmWjlH3mXnbkpxs08P2u6+b4SExT91NtjECaaNLBvnK65S0dGeULtMba+zWn0
WkzWDlX87V9c7J9EQpLMEN4D5EOet5i4fv7WytT3jQwi1dY0Z9IMwIl55nCPHu9OGfKi1sl921VH
NO6HeZT7RJmPYM2gPLqceqEaNHO66a2ZnhxHyjmnKyrl/VA37t/3G6Rj0bfqX7y2f7q7nlxmsLYv
cZshmvrC/P1wdxF7eDCaPYMY1vyu9lO1w+45EME1Xg2LzohjF6X7AEtOQgnKmvm1V/PdVMCsxiL0
+y9t+U5+vMG/XIu/fKc/XIspayvPvTyk9Qiep0Y9HFgoFuj9+zaemL/6uK816dfPg6JIB4k75dnm
Lw+Ux2CUFGJSihzqIhxhdbXydbPpioGnwr2zUGXu/KmoNn2FuBUoaXINRf6IduvVmxwH/F/YbqOh
IM4jKJ8R9UJGCXZF2t5TpGRndkxIM2atcReK5CagB8ncMVgZznyODdc9pJIZT22VCsKOjfy3srbE
eJwhjMNHRuDC1nXVOVFLpFjjHl1GNO2B+IRpWwkoBASlcaBtImernfn69zfi58UcKgcPhbRBfLBX
WcxKl2XxhxsBJ5upKGObhR+BxSDapfUlc1Q6IRe//yD7z68JCBKHTREfJPvvotr78ZMEpybyAXin
ndSDxpV9Y1yBzcSv2zUzng6wRPyUjsOdq+aj7qZbZ7JfQr9YPM3hK+3TdSnaz8gjocbMYJJDztDN
xUKY//11un9+NH++zl80f2YYgBzCrkVGDOcya9gBjIdKlxbPIRv0yjN7aE51n6xi0rtX+VheNCPn
Z79Wz9FcoFobZuOSEY4BrEw5B/rt/QUWh2KT2kN2EKUf7iMl3dMMUeARuFi1rpW+7Csm/W7dYZnR
oPgMm+lhGfDB0uzhV8yMBLED2LT0J70yyITeMuPssJNXT6NO38K4tnmPhul1Et0jDXq5WXjT3wvo
C/AIkIWHnYrOwFTOuyzOH3//nf35IaLaES5VD9s0SJlf3mY0EpQbThlsIhFeMqVmEWRuwKkYP9ju
9x/1J7Oqh0qUmsNDDu24FuLMnx8jDkaqa50q2PT27Jy6bma6VjtnNVkWj/GAqDtXoP/K6aKNvpPT
C97bael4BWywg66aDZoFyU2BPW0F019c3PLZP68yHjZe3lpYOrxNv5Z9edpbdJ+ykJyX/IRowRMG
tpGHv/gGfq1U+AZ8E3Gr6fEZCF1/+QYaOyPNgYQJCBgM98aFuSCSbBMKQmCTeNEqdrdDVNdvuRIP
KR160TpbCCQIp9yy26q5wCjYJCWHyfEatkZ8nhv4URsmhn9RUPyrK5WYl8XyWNjIcn++VxqPGk3s
JNz4smJVScDjpExAYo5sEeSNleTsbaI99W39F/sLlfzPd8LzqWJ8KIGCXVn8utgQ7qjnilDwDXGj
j+HgscRgnmeG6ZT2LfDBdUK60V/cl3/1mZJE7EXgzD4jfrkvQTGZLqFC8F0V3RjbIOuQ6MtTjYx5
w2z1vCq6jzjrHwhMfksT+WYTKrQOjXeUDhFD0Kq69Mfyewpgxqo8xKz3v78+908LsE/EmR9Q4HoM
I3iLfr4bo6GsyrS1sSGxEoFRsw9FSO+T1wV+pCSTec5xY+v9MNrfUxGfulm+4hwb6TKFL42asfxI
9xaB6/c0jnfFaCKMQZdnZMn1ILN9HQ9sVRWKpLr6IEDNB64Y7XpQFseKX55rdzgBelOrAu8rjVm1
y0T7bcLA0k3ui9WCWF3O5E22c1HTbHsHz9rvvwHv52MZmx2CNo4tHkUu7w6Clp+/gTJJEFhbsbcB
A3pPE+IG2sPBK3tjVROrRmYgRMhWxBf1GOVrK+TfoKVaNVPebnXU3upmuEX4yWZg2D6yTXc92g0b
PEoUH8SeBz19UwTgbywHA0yr6ZxMLN5qwBs+SIsM7gycnTtsIFO8+bTK0DD5dzQGXyw7uSAGc5Pl
9rFJ2Q1wBG0GEzEuMsrPOIXq1JGy3HTJpudCLbMA4juej2l6nuEvpn0k3nrUPQaO0lVaDnut5QUI
2b3iDLIdg8xDzsWAx6WVtR3pglWGaTHoIdVbF+NmsrJxF7vt2hmRI/BLJ1vUH0MTXVX5szeDQNbf
/uJW/Pp+ouyTHNI9jnYLt+yXlaGTZYjlyaEes9dqJmIazc5B4eyq/pdCG/8vxTHSP6Fo+Z0u8zOe
3v7tunn7/NbGP/VQ/v5b/5Bm2n+jRcKx18LfgMT+B2kmmYxgByiXfc4L1nIW/qOFYsu/fdk0WEao
FdniuJB/UinYkaBSsOiyCdJ6+Z+0UOi9/FqIIY2UGLRsVi0KU2cBYPxYMCaWEYxzNre7Me9id2M2
ZFFZbRNfoSemWyK09eSrCEFCgznqPPka5vplzQh4SNK70rWTK6bUDI/VMLlMLJgFz19j4ZDBsTwn
n6CLHyM2iQkyHVNkDpA2inHb3oyGg7jMzG/VMnH2BAAaHXf9VV2aj4TCjKwX5XDPMLe4j+ay/OyE
51zRXEwPNnp1cuHm+NhERXddZCO6RMcTDL+JXmYQjnSLmbg9aayAy6C81KRE0ULCwUo6znQTdCGD
dbaHvMJAoW7Lr8F7/zWEl/Fc3NVfo/k0afq74mtgP7uDhezka5DPIZWhvv014HeWWb9h+Iz9J1UC
s3C+5ADo6ILg1H/JBKbBtZubientp4tHPNlHwZj1j4aFvqCa5/GdoQiiA7sJVLHVHkPR6EuWkCyT
LlyCi1xBfEkXZkP03zXYZfZ5fAivud1Z9xWNXoZZKB+YIYj9gBgixmUD/+hLIgE+Xb7Dx3L7oyOJ
TV2BJVDRKv8SV8SLzkIuigvrS3yBsh8hBnrve7etkpduUWl0i15jNFvvkvMaIo6W7N5t+CXtAPww
MGpA77FIM9HnLioQZA9MDbSACJtDTw9IyGRaLRbtSLSoSJwvQcm8aEswzxnI6c3SBBWBEaAycnut
vwQpDHlInjAdZCp1BxeOeQmI50XFIpht2nuWXwI16zQ6d8vsoyt4WmjxZNEGmgCUokUT4y/qmJaA
yZWZ83MT7IUY4UtBEy1iGnPxd7aLwCbKC//J/VLdWF8KnHgR44Dd6tcYD94dNnQS9RbJzijINV5k
POaXokcv4h6JymdhDJFa2cTnQKLEzdLAeGmaPLmIBrzL23ya473Snv/RMCUF8WEa+TPWlA71rC1G
vZJJNKKvc5n1IScr42ydMyMgPifO0/rUlo6x9/yZYD/Ehe05GPFkA8rk1qePsE0qy6X7kmp7hU/j
Hm9//9K4HtnQdc/zTk9UkDrdw5LZgTr0nYMZFvMbAPwufgJ0ECdrdE0eR+5YpvBusbQMRxOMI0by
bnZ8/EFmUh4t208ijsx9/NwOyUh9YUUahAc47fFcTdQfm5hx8wDlyXbiHcxJe9GcDdZV2ySWt6pl
I1/ANzSwp5niGOE+LDr3yXVcZVwKt42bHZrwuNuB2LPExu1be1rTvXXEbpiYuG7SkRuNQqoEELJy
7KgcL13lRd1F2BOrs7ZUahIBEPBf3cb+gA2eqYzF/IWny1+ZXs7eG0aIi9cJmoB6XU4BeIkaetwB
zq6+N9NcHMnNjdQdOd+Tv8V5HKTfhn6qGa1VNH8dmoogn2crZ6wddzZZ4Gn2LR900GBcC5t6hfoE
vWIkkEBTPMwks7S+gYcKLjpsMyYn35sgVajfnIEpflpn7ZEnE113DekSwUrj3jAxKy/LUohPaYyl
faBbGySnjgnnuxPkDajnGF0shF7sWAm/tOMnth9K0KIPyoVNB8fLcncAAMkHMmtFxevX9FgFdIT1
TPiEzQGmSIGNxBD5VyyQWKi7tFPVmh+RsXdCKDm/6DBYz8eMrmyKPv2lByt40ZPk+VR56YRfSgwT
4Xo2AInGCcZVQ2G3ZR2KDLCYwXCQlh4u+kAF19iI8fH5KViV1JDjjRi7ae3CJrkFVYg3d9AC2lhW
RtUxVDZcAvBz1tFSU3KmNW5XYTTq3ipt56kguHFnNcyJ8ABLopkGopsKtsiCYZhpQhrhDO4Y9pii
ajdIcsDZ1e3NqQvO60ob6xLBOIloHA/Q0pX1laGr7o1Ev/GVvFr3sY2t7Ci7Hl9T04e37JaJv1eW
195XVjq+K2JyPsmcHe6Hphh2vSjvApalcTUoL4Br0ld3aecSLtbOcX1SKkOchrkyOlgFNM+CXMk9
YHt8+cJFG74WuH/inZ8vVoc2ly8R8muFdblszzI5+d+DvupWZcJhkkaJeUi1Ll49ryAgoRKmPRBX
2TnbvEdbQa5gdSiKHllGQ+KvaJXDrLTSVrqbLH5gbUak5eCjP+/C1InXdhlZ9TmIf7y+bTNXDyof
cg/0fcHeVfa1e6zdrj8jiAT3cAUwUoCB08mrwC9903eTc5GqLLgqG+ioQD/8D7bm5nwOovYF5z/G
7mEc6xNwo+isgDHBtQAcvBWo926LxOaftdsHV1yLfi2GwHzMrFZi9xwYjNsevieEbTUIaumhh0q/
Sd/OYUzMwGZCBKWX3L3yxZyhMY1CG/u00WJf2S6Y5ar+JLh2vo4JhrukchlRuZYFWYWYR1VgJPGx
rJDVAlFpthmMCt43b3Q2FpSWG7NenGtFF0w3VmfM9V3JYPVku1XzaqPPIgrIZSC6CitV+JuhqXoU
JrLV71L17mvr1/3NmOOkOaJZyZ6rIYqiq8nVqDvN1C3fK7wOHyGEJgykY4U5oQUFTwodPJaUg1vv
EdkyEf3niNw71b4m7hT8Dn+dYswQa/40FjPT8LyeCK2kXAto3mTPh1rcuCmCaTG0rMzcXAuQZlvq
rSbLs1rzu4tNTWFGrBQ5EPtpHvR3UQWcJbOefzaduPsuBt0fyTiozwfZeCeBl+0mqxCtrFpvIlNB
5H36kJeq3MeqaM+SODT3psRkEDQef5DVJGDe6THH8LRaNhtCu5B+e1nPFfYxvxhU1IKHJi1aMhqR
b76pAFXXVo3O9JZMRvih29EjBLfty4g3Fhnqoq8hOMsyRIOoJMVmafPbS7rFNTkB2FPLK0WX+ZbC
NN6A77ERryZ+RHxxl888rEYY7e0grV4DGDK8b0457JidJxY21B62kFD1S1lpGa3xrZZvJECLMzfk
qOh0Xbvtw6bDfeQa4VlUKUvQTiZEzeOStmAHZ0Tcvlk9aT9SH4BA0do7iJ4vk1hwug0wLTPWn8Yl
UhUhedBxbU1TEdDmk27DnDDBsaJmOsw2bv1rVv1p0zReMB8odqp6RZMmeoCcv6w7A8tkaxOOI4vA
wtIUosLdoHspC46Pk3r10bFvIuJz5qumUMLd1N3YvWldia2HoKSCYZhlV05iM+Hw4Klla+Ja4YeA
CR0vdIMFYt2SBPYQzTq4B5+b+WtOAuSdT7F5gNIGAYyel/tsBqKP7zJCbq6RpTs5bGfH/9TUlvor
q5coWnZmkFyTOMV5BXohKbR/AKNh6DU8ZLyKEd/ZwUzQdAit3RY2ZePdgGA1PJKoB/uOYWu9qWXU
PSIJSe7oSPvXwxRRt8VCtTc5UpJ+ZwazaClJDJNMCt3jgGr6SN71MkiusEghazP9bLpCe5J9YMV1
blXNQn2QThUBrCf3ewsPw/hkxUt37M9yh943/QaMo95QCokHbLaVtQMkI2/NbpCvEJ9Ihg1ihwQT
ZdMkoSMcnGJZeS8Z7MzrwmyM98ovUgxlcZOc2a0uFjSC9x00YVKfz1FbhTDaRPEJOVU/zgOq8XzO
+zOPWD4AvF5s0uIg+abcSWKAFiUaq9BBqUIeoLYYDzKa8n6bt6gWTS30WRGDCvOmxCRzWtTO1pow
EaxLO89PZlYM8doFAvc0+3joqzilV+5NnvJwqifjLrOq+pyWMRg+I0qa7VBGYO2i1jxaRfc8mhrA
U1QlJCNMNK1KW72GlbkcpmR9GmOcpklTs/K4kXuTDJ5GS2cDGU0m0HxoiqjHjPjRzix/5TYw0ngK
cQq3wffKcw+tdJrjCEdpq3yd71ymcnsf9w0pDlP4LTTq9sq1K9a/KcDw0IycDg0NcrvQ8X6gRHA3
9tjLyyioqmsIXvFRgYXbWZNRHqx2yM5U5HUfQ6brG8+YmF8QsdNTu3jVvcvet5ME7R0gyESvlDMt
KZTxbVKyNLcdFzrNRHsMOHth11ThWS36ZF8HDdPiqGvPcdSwUxv9vBmS4YPTg6Zl6MN0ZSfOyKkZ
9GemcAJv0yEn2QLXzWuqEDBtSiX1aeABWRvG1Jw1ytYUi1l6Ctqsf5t99TnXBrVV7obLdspprI7L
8AgLriEA2p5hkkb09BDDEDfH7OgCAEeJawzWqSJfY9VEuJoBh8kbXZiTv1bjCLtbZfqccC289Eat
0o0vGvNKoLdZ50Yqz50qvOexv5EEBPVjB05tcK9ppKLXJ9NgbWVZjdFrCFbcTlTBWcRgTc1pfBGT
JZOtU6Sjj+QZE4IcyWDN6RM4QVCqBwI2xrekzsZrPB0IuEzygC6mWXoHaUPGqUJGuXtzbF2WN8L3
XpiSXWV121whAq73YasPHX08KsAOHLYJmwt+chOuy0yIZ6ix/Xs9txdFnKszNFnFwipC6w35PHon
MdiErDuOIJbHCuXu5BPhZcxnPXyrxVPf3RUxn+34SiC+srudgkekeEQN0MpzYV+iFhjutUdtPoHB
g+BCh/6FgEVx0paN0afAx6Unp333S9Lq88Abz0QQDndhJHLOOdrcDa7P7gY6dOcYlsSFpMgDKf+T
vTPbbRxLt/SrFM51M0BuzkCfBloUNViyLM8O3xAeOU+bM5++P6qyqiOz6pzsAhoNNHAuMyNshyVq
739Y61tVGPbrXuI28alGzswQ7dpHKYvvq0QK5tdKbfaQ27qi9YSwW65wDemZRddGN6xgWiDVVMvX
kdL136xvW/vBDkdIyJooCjqTlol2y23yKYUy6F5KRMoumePiFesnPoNOF6BlgP9W4RkNt/oUxH1J
+Z2iRUl08SoixboRSaZ9ArVB3JoaWQ7MgPdh39HdbGB60UjA5omfUjRwJsYFXEv3VdUUxW4MEbah
M24r38nq+aWPKnNvMwHaj10j6BdGvTgTWiys3TIgeQtNRfP7dEY+a/SjRZQ35rzca4tWudeaCZT4
0MMhG7vqHh15+yaymAOg0fKdMONXxLfRQYfeWPjZQg5XB+Ys9HWZtoYTYj7U9tQCiJh1cR1C/2G0
WkhyWUQjZnvbggpRNjp08RZNKFG/T7DwhLqtuDV1IoOzpWQMj8AEN/EgE16I1u1mPPLq3KyS3lW/
K0y3Jwew07M65jYYDKy/5L+1dvKCblheMcEpcNInNZnA4J6zK6T+ev4wLKRKOAO9dcxBEjaHMhpB
gc3RBIl5UAZvYiqxbXX7Jx653EVfb2jwtRmpcyLF6uAhC5qvaTrlK/TAudwMAxLgNGwGj9ZMeQD4
7RwVa248SkjkDR3INT5ysTxx5FvGoUZcfKMFuvGRJZ3zzGSGVAjuIyrpytwWaVadTLeqPwwZAs+K
IU8cx3qJXHGj7BMVvhLsaieJIdJGMpWAmskGRjqQS5OKj4EBgHghySqqBlNby7gartk4NEtb2IXM
IzLCv9mYVS2GjqZA6lvBVydFqCEG9kCwBPCNGBgj5XASTeBIkQvqu4ZOLNnk9uRk297u1bVMzdb2
DFl1L3pQL6UyWxLuHLB0DynjwEXGnHU3Be0L/zcneMaLch7MFfd0al3VZIi+AT8ifYfwqdFLCeyl
wuGKmtgXAqmK8vFqcKuFuqBVz1auOS+zhVcBMWqknEuHDBavMQyn8Qa9mZAtQKfDTtHJPZV4tunn
CgJNMHUN7V1Rqwh4krYiIiBywlejnqptYXUWxLjCIT6ogG69ae3OXpuxY35YzD8UNtVoGrC6pAWn
vHBecDs2cqtZHaiR2tLPOUuWXZajfeUJ1rO7QsnqHcEbJGxHkt7DY90KcU+TVnHUkiV/t6lzPiS5
Dv/f76FD1dtA5PDA2ckGeYU4Rgad3+Vask17G1w2rN3xZ2/RYPGbOM1TN9lYGKxuBLI12EtAvUhb
NlI2xFpS9ggkf+uySHuAcUjKstE6FnVCGuoHgJ4EDodmn7wJyDLMLeJR0TZTqEHmy3ujlVeuzRI5
KTqaLh5PEGRpONqmtjLUkYDzuG22eSGsKwYidrwhxaDYMq3NPos6F9eEKmMPyNIL6qSxpXUTd2H7
BMw2ea4HlWS1bgosfk02TRaIRhuyamx0GmHhPCpX7RTMxaqVTo0Utw/dB0Jg6OZxaagw/7TkPZgG
gDcd7FJx5JyIMXKpQHCBfYJd3DtjLYtt6Li9Tt5W382s9Ub7Q8IxecwsQSpRGuc81FhEGQjErU2g
D34CDDtg5lJClSTCEqKJ9fBttGMbnLBkVopdxTmhnaoa6gl8TDDDQ+D9Oef/vE4B2Ktrs4AJ72WF
xsDGijqcDH3cVyfW3iMsgikdf1pBgqbErruffJKkOEpV7bZhFTbdEZ12b1Iv26x/kOqGnwHW12gz
io7lcBAgvPa4ljhXxmLM8sdE7xFLuOUMCr4D3uUNXJPGSsGqv8WrW5FpCXsB1b06HYHJoReji1RC
r5JjTeJ3VmaJL8iWuF3cZxVejLogFzx1m3WNkrHzexh718NINo0n22T2azVZ4s9AinCgqktgGqeq
3rPiGzcEL6jdcRpMlDwKBuYZl2vFHC2WKsOkxrY4B+bIdU7N3FLdZ9xstGBLdh+GYuBRjg4wlUS4
EHKBOoQMi6aSf3CojE1w3RAQEGyyXPvuU8W5k6xwmTwmFuGJSom/Hjk+a3oT9w3w/qyShd9wbGJ6
aGvlNqTVcJ5ETChCaPW4y50EC7wzaL2yoa034m8DBf0rERiEPiQxHkymuHC7KVyxIQ92fJdmzrRj
gxr1G/Te9lNF8vJhnvrwKcmjxQLgVMk5q7OXStEDv4xtO90nXCJ+0LG+D+uWWIRuDIo3FjrKZxlX
00OCsVaBDzyy67c5dqdDxlUoV6OT5Sd6yNHZAXdilp327gfFnHxXEyd/nNVRwomshoYobyW6ImPE
dbwWhFtNIFmnr3Rr8Y1FOMi0xUrG1ELfjAwUDox0DGx9Zndu1EkscfKljl/CHuYdatzwrq2H6i6Y
IQNFF/datBjZ5MXT1i72ttQR2niIakxv88X/Ng+LFy5XGiZR2sUjF1z8cs7FO0ecJT66AFdXcmLY
gL9unhevXXXx3TUXDx7TTMeAloU1r8WjBwwc5OWoTW9Ajn19MfJVKkpLfMW4+1jI1HQCtXihJhux
/4Hctu7xMDO0uPgDY2mFD5Lgpgdq0XD21IuXUL34CuES1M+WrZbfrqByZvPCHMBzGjX/wsGCOxES
WIa8dWTYD00KA9ZiZDQunsbi4m+8LB3/n0UC/P8KxWOzvQRg/cf72Ye3PM7+cnr77H7dzf72ZX/H
5qCQQ6kgkGwiYtcRa/ymb7d+CBa2bFl1lak/u8O/L2c1/YdB6jN7WyTe4NlM8fflrPMDFYzgqwyA
YFg/yZH+F/Tt/6DrcYkLQEYPLxlrvvpHHYVk0NJZI861OKzOWgAxJlXq19zQQ3axyNPa9MpoxnnX
Nezsfnml/omKFXn/H6QDC0UINq/gNQHLwC/6+7Uwt7eaDDZOES1TmE8t8zJl4ZzJsaHBBxS6mrNE
HOOmj8CqqDHTBU39YKsS+m5Fewiu1kCj4bLfPPWmAzZmHs0D1SzbAjPWr2rpUvbIxr0mvwg2u5yQ
JgSUHBNuMxgfsrJvKcHN9LrKHazqqHX1CAwZqkG+oT0zLptHtktGqeGY66zmmjxB2Mpx2oLmaefN
Yv5uYew0+skGbPCggZmAUc7g+xYRmzgKp1Ee7NkAmOaU7g28X8TBtm5ch6lKjCqd+yN514wqbQbj
rACIXsqsbkvNYB5cTtLtYs7bz4tGyRulotABMO1Kd4ZNEWGbtdWspRJ3w55mr9SBweN02iJSQpcY
g/6S2FNBD0WT8+oERkIXx078DoxjWHlN7uImbBVetUafdlOfNMc2lMpuSOsov6X57bGnTurPwmga
6DCmUkwe+ya+FJzc8MIEGhi0Qs9zX+jNMwtck8GmYLEr2oNTGAcXW9wuTGSz66WD06dWXq1Oda9V
VhhEzUDGI66aCckqTRNsQ1aijwjv83E8dVU982al6aEncnvLFjndCvzlnZfUTnkssH3so2zMd3of
DQ+hXiZbOma2sujHuSEdxZ873u5GS9W3rLBU3yIrNwD6kY/bVAH0Dcrk6Ka022klCexGXFOizStW
JhZJetrG2WkU4r7LJ8ck0anTjhMLvcqjACP/KBmCaoM4nbefEF/oH+wzsIyxmlUEQBPQAGtQy82z
FWrOM8Hf6nWVVDzToXlwNIQxzfKct2GcebXqGtc6dP6HHr4EvO2uXWNEa7BAI6wyIU+a3Ma4/3gH
mwdbkMNGQJBM71HPuxqOMZT/DOFd8KtrQDgau8AmHl4Tp9O1TcVeQ+UlVgvotg22Tj/SBhNJ1jzn
1kofBPjBPI7nk1PY+ntButAdtL2FGZ602ZLFC1mRFOgvlujy3h4a97FtGwF4MuqUV8qO8Rh3ufGg
p+iR12M51vbJIFIVuMzYI84MejNgl6Yo9RYtO0qrAYZEuBrTmjVcm4bDezWNcbfqEyGOidSk9uo4
DZlxZNF5LlGHcA1mK3lvRpmdyVRKSQLrsocmFiaj43rfFLG5w9j1Pbd0WmzJBnzKOnv20q4+4cQm
uyk042tgWdF+lpiJtaCiQA9rvT+Bka8OqhlXfKhhojxag3A/kkAP9kppzUsAJ6u8ZmDcGTa5uUvV
OqnXsdY01zOGY39iAPCMHrJmXjBoJ7Wczbdg7osNG6b4e3EnMfscCnqp3rkvB1d7y8PZOoPWxyIU
BbyEo9M8BqSebLO+UY/krucvUWLWT4xO9Ec0b8Y+ahiTVdXUBmsiAZE1dF06bKumIZQjLcic8PBs
aPKDSUYRHiJdkoyWJ5ljPIoyLsnK4itf5MwGPJmi7yDQGZYZkwqQU4M+Mu+wrs+Uw3GCMN1ivDBF
LD1dc2b5lHRgLb1QBeC4MsfJYmSnuJg1kj5+40kbp1URMKSgsndjda3Q2vt4r+FIRmkZMPhGulys
QWXmWAlZXB7basqvZp1ycVMbKTo1B80dm1hHewXh7p47Ofd7MhaC50YHrrFOFAy6SA8GuPvkDPOx
6WMleKP2XnaIrTsc2AMMT11StPY+EBJRag1t5Zbt/LITh1bkB2E8vpFtUZ1aGTXiCjeq6/fK9HMa
lEKsmfsH26LPlPui06svECU9sHYC+QZb9B1Rih3rfPR+bQ3uJi9eePjn0M9nOJQeLT7DRjZj9Fvk
ztDd1UNPCHOO75H2DnsXQ6ih0n6OVa+v+zZKtU0eqcWS3FK3P5ViaAzfBjbxzGxSfaljxCdqPYuP
uGsFg6sZ0Wk7yw2sjOZmGC33s4FIe1KhHiRb3URpwEZ0hveTzUG5nUKy9zz+Wgx4u2YjF1a2/hBA
gYSSafChX5VGW+8mMnMxi6dzGrLcnwcG0hqTBPg0iGNWUJarijOTSIgV66c425Yp1A2m9WaXe6D7
5nHjpDjQiKItHWUllnsHJ1/5xNVD1Ab4WbvzyrGvHtO4nQ+pTNwNbxmdceK0yDTQN9ZVwIXHKMtd
gRpor4A/MY7PmDS1Xl7mxbmGvM7wn49DBdOWWTGGYLoBQgPdHElW0jOf1+DAeyHeg2M+yYHTdI4O
uVvDYk87QHXYdhPo/4h62ctiyLpT8KJZiC9neLcGOpXlg46EZ25JZglV1/lEZ8Bz200IHBiVus23
BDxyM89EHHvMnOm31JBKyC3b6CU3emPNYq69JdV5q7fWeI4Gzb2D4BM+aUgMVuUCWyWPhSlFFQmc
qUVuehHI32MThdFNg0gb4q2lGI8ZeJ2PHtwbn5lY2ihOwgmP9yKXAgaLYk1HjHHtzBF2MqaSsudC
7mrIEmpZUUGI6KEfWcQzH+KLI6NOT4L4xnOGy/ZkYNdnhwXP8G5EmAJOvFUPeM78OSdwsS+zu05B
dwMRV2O4Y21iInHWFLAfUDLMNSvam3QK1VW+0CWMpOLn8YXWpg9y+6oth3I7I7uB1FohwKn0oaE9
LdilRSXTE6sBP7VOBcuWVUlE0IFOB8yuC4SH4UQ6UQdRCH3noAxO+NcJ+3NiGEqWSCwm4zpxEquh
5x+0F1FuyJVIDVZ9TSe/gI867dZw4vajc9hkbfJ2wVD1iEJ2di9UtLOAvVbESMLASJjwmRytZtGs
2GsGw76IrWoBXc1Ua+mFsGtMDPundu48KEEgeO3Q5D6sFjJvuzB6ByYKPsFwMxoVShVrBT2E8Yvq
OCSwJzWcX2Zz9q0B5eFJI1Yl9Eh8Ta9CR68W1jvVly8XZnAdQj33tWFBCeeTy4KzqeZTiv5jJxfm
cLLQh1UhEgirEInHZoETjxdQcUpMbLUnPcZAUgLNijePA7zyQCmxAwGjJL/cC/QYRgsAZKym072J
lh0scjMKA/XRgktWkQMcO8WNGn8Ky/IYLWRl2O38mPACXOZ9MThXEUehRrYMDrG4H8zmKC+wZrJ6
ADfLUAHiDE+yn31SDyfwG0CIi3VygT5XsMOsVXKBQacUxObGXBjR/QUXDb2MeW3SC9FfuQwUnY22
MKYdKPVXXU9EPGWPOlIBW6x1CcKEqhwkjAZxTTgPSKfEM0tM65kPddJfaYbUkXwAup4vzOt+wV9P
VdBDkbdI54JThTwMgAGmubUTu5KSFYbEAfyZ8gaMNh7Bu83kiWIulqlPbOOSPE7n0G9a1WIsyXvi
yqsICPRzhizhCcE4eAEaf2jeZjuE+6yU3SaStfKlaklwlV7o3yq3yn4aB47icsGD68NCCoe51D7z
blfXZKeDnZhBEO/NBS8eNJk44NCSFDpBe8QTxsjJvDDJ+dV9IiQglY6WMZ4q8hWIDo9CwlESyqNu
DUXIfGhVQb7tn/Rj2h9dBXSZLt4xW8f34yzh079vx4CkAbaLDcZALMD2ZRu+F3FxX2vVi+7m98Is
uFjtyCUmLn5tGFLd/uf94OLG+tVys/x4S8VTRnWnIhP4g1srDRqRp4MCVSEgwQyJTHHkxc8O//lP
+QdD6vJjXLF0nCo/x/yjE3lq5l7A7GRaGC55XT2cCM9WdMXZGdGMIRYBR4542IVWU3A9ibWA30Ty
e58NL9o4maw+i+5oVXl7l6KOu15eMs8yVHFShmp6EYJGIYa6UqB5S+z2jPW9DP7qTvqvecyf5Tiq
mHLIOP/lLV/CIn8LgTy95V///m/XS15MJ3+dx2h//7K/jmRc4we2RWYrKMsEHPEFLPDXkYwrfqB6
h5UD0IWn0fllJCPMH8BDbPR3BrwCDtL/PZIR+g9Hh+TFd9RNXPXELv4LIxm6yN9/EkhK4BnVbGG6
pqlqCPt//0E0mWJWipq6u0TG+Q6xDGrtGAhcO5Oc1cKM88xwZMKZFFtS0DCwRvP4mDdsO5ENP8uQ
fCqlRr4UBvl4sLH53DW9casBcSTaB6eZNhhwwsZS3Zh5g6o+ksET5u38uk2VfSMDlyQTpztkaXOn
gNABWzVG76aSYgpCSuKJPiPWNHGcFdtydA2NhZHRqDtjo9gxcJbKxDbPNsfBrtiiTxmm6lomBgbp
pV72wM8ugbIB+YBcoTulcA1z5zZAtrIuj14IB/xKZ6Ww12G7rKHGOHlF1Pc+uELdQTM9JVgfkY+y
1xrwhq0b3WjWhTF9q0qRr42uqE+jSb3RKEF+l7CMv3ZTc4dEM1tdJEoyNkdvloPm9XWMWzmKXyim
uL/aitXIJZW9aQa4WYTtqRpw+ATnCzc/Digpco3VgGD/PuAAuFOH5JOr0liTxBJ4eoS7CE3u0CyT
2tdcA6rABrjot7iEQ4+uLrzvkZu2+qDcQ8jPbvvMUrYo44JiXRmBemsONuA4IxwibotC61VPWxxL
gB9USImpTPVVmtFL7Ig5m24DQYHaoshlAlXIft0pLIp2WRWFyl7O2Ompr9qERHJBcJZBZUEyRBK0
7ATYTSNgaCh16LfkvqGejwC8xv1VjXRNrNA31hbjhQniLTiLPvCSpsoMBsyG+mHV+vjEDrNgj+I2
UMMYRi2m/jxvXX9SCE4AD58CgqyXC45oD5NqdJhdnFWgGV/axpLXMxqtytfI6YrR6wfGTRQWubZu
B0VbyUXUCDcYiplb9DemoTfa7ZS2qKrdpFEQcBh2ZvuDoWHEdqU2DHcJMO5oh86qq694wqjYM4et
8xraHaeyMhTfZRXnB1t2Yei3rHmqbQ+QmvcceO9V26S1S0MkiQa1Bve26cO9kwJQFSaNUmiSzIF2
ad07S11u26Fv6CdHNV6yxj6PC0qL4ELhNbHcMY6EYCPV66yaQ5BB5V2v9+9BZdxD3vcn8JEnEGM7
M0+v86GrycIL1npa7q3o2srRDXLvE8vDLqBFhOkZYjDXbT7l+1BN9TMiHeWLxxmiQ7Fye/Us2hjE
xejcqmpdbcphXOUcURso4kAtiFdgCEmVjEWQr9G4xHNFJLeNqu4ri/zVQUpURhFGUTYK1rpMlU8D
//u9y2Z+ZSnN2bEmbHxsi2rcYzwMTrjLTOTsxH895EzetilmanKz9HCHRB6GuZUzQZjQV2l52XjT
jDIFkpvyZhjoKwnJGgs67Flnd9ZXiJYLh1a2LvW1bSBPQmWgl+RoFuW1GifWqzuF9yLLY1IuRbcd
0FHwkUk2yEictaYjZ+koLD9mY258qU0+2YdEiohkXOmBs4+KLNj3pn3P0XcdJia5CMSFXqWxs2kh
g09JhkZsEhYRfXKbV07H9lH9hOXOBNmavsI0uNGjofT62bA2dAcPytxrX0PrpO+QTL9/uZ3+yRgc
L+vvjnsH+Q4hw/ijBOILx7btP7g5i2rslT7W3J0Sgk+IctRp+AYKbR2OlXkTwTSLPWXuzMo367S5
xlMSvxDKTb080hX3q5zccs7J1uJTR63hnhNRda4fjin1bwNNUCccMkUuh1V/eiplodF7BnyeNTnA
OmcAbzOLzWcyZ9lhysV9LvurVMO8sY1CS5F7qZkcFkUVHPqJTnxjXk4T5XKy1JdTplkOnBElCnRf
YiDEjs8l5nq5ZMF1qkF2YpQmd22iTDa2btXeQ+PimBqs8AN6c7kSbbipIqs7ZgEwLlfVN93CpdOT
/qiCEj2YanEQSYpQh/WrnwgySFIBRC7PQxfpg2ut+k6/m3MIxwnH2RFXormtGRXA0WlNTyvjZr3k
tuhFIa50VgtfmlMWj+g7S7/Wo4xnFWEDIa6p1o3bBHlX51koFbfEovBpsdQECJiLya70jEpLUoCQ
KNkOiChzbDTol3BL4Md0LTDptZKvXTcsnqLanc8omY0VmztQnTI5oFYwzp1RsKJwoBL+5FBogJXa
88aktwaEOoNBhDSe3PRV53yGhGz4cZHcyqwUVxYmmXUZ5ol2Ddk0PeEMIoSrlS0qTyxpc3zMsc0e
olGBc00QypaNp4GosFe2mpK1GCWYSpR2GH4EYAcWvn/dQRng9OqdXtwQmqLexvjRIVhr7wbJRnSP
BLs3oCsIYMnlOYvAe8em2GZ5OUEi16647Ri8dEp/QK7srK1R1v4QNdJrBPN4lDB1Ox1pCV+icB59
XrnnjC4UvjJTuzJ0J19B5YGuSXtgH1F6KUB57Gsw6Mg2dEf9E43EsLFq5QPaMXwRWHG4k9sr3U7W
kZYQ5Kkdmjx4DnDcOij7kc2/xxr0ttI9QXfIoFGSUzTOHWj4UTultf5VGqF7nTK0X2u2KjfOSOVf
au0bXWBzFTla7zW0kp/06gNQcachAU1M+6Yx51VSxc4qz1Nni9Xpg2LRhGShf/YGYcBLQi7RDKGz
zrU4Bmmj/JyjPNxiJddOSPauSbiboMx2wi8KMjvhMZUb4mACDwhCseqJf0fs1IFZxWLi8manhBv5
rQNVLbM2ZdW013OlyfVEmOfWNkBt5CML7zAYrzNNi/ciZyymaJNF8QGvEd2LdouZpjkTIeHrbh/v
lRaDZTioyHlw7MZXjOUF+WyEwX2hU+t90WnVd9qHrKpTRsLYEUpMJabAbYhQUcTY0hKwolsoM9hp
sk5MP0fT7puVNU506VPHQLGXuKfxWKGbaRlWYS9Jku8oiAE65kEYeQmSGtx1YmyqrbKIpvwSnP0h
WO5oudzW6eXiri6XuHW50HU7C+Odc7no+8ulP18KAGIWKAbGS2HAfowiwVrqhWipHC4n9H91W3/S
bdmGyXYZ07CAzkHLgynul6vtHxqv9dunfPvLW/HJPjx8k3/ZvfVfWfyX/8n/WL/lb8Xlj9bx7zbl
//RH/MaF03/Q6wmDfosuCEsz/dZve3P1B4IZU8WKa+ukuTlcmH8zNatLZ7c4kHWGZtzatFZN2bXR
v/+bUH/ADGJOpPHrLN/yXzM168s05NdxhUmkDRNxUkQtQ5g2HunfeZrrIBmS0AK1EwyPaH+u3Qdt
E24i3eMAjwPsaEA2N2pzpz+i9+M2mZPHpsZLlz8HYws3QPEcRKmo6l9dxMFptIsA5HTKxnbIOkXk
FzT5PnLeL2EHoCxXXfzcgRwmEBK9t7VS53sdAvUgJmoViTQYW8+3HL2MBfdDL07hJ1XQipyKiYVE
ASQWHX9gfecF2jWu+IhQYc3amwmqfIZCpx54JMsRL4smpvw0dRbU7pF4X1PBjJPITYKt1sP+gin4
tXBBphfDu+oWj02r3ub1HK1jdqArU58qH1OVZxQfbXZjOT3Xf5+2LLcR8IcDE/8aCgPjaXHWkuQ+
zOa9rrPtmMRuCbGl7M5woxz1UUu8pqpuGP6SNUXaTKcoPt7Rc6bBK6tA+Cp6+WVyk3pFbfxUE2XL
2+SDdvOBp64Sdo9Gk24mAzUBgqvEkmvaWXQA7bm19BPC1Y/Uts4jXkNWOihEK008jfFE6uW8Eehl
Q4NhdAIAiSALGG1Wz3cNo/gc5hUZOVCdVkyjTzVy2WT8E76S9g98r+Vzp0JMszX4SjYz8d8/W2mv
NmNcKi4sy/xRtgpFh9GcWfXsIoJzTUFMSWZbQG2LbVbdmOy1AeEd2hwaCCcnFSFWJ/R37t6Ks12q
qBsWNRuZQMvsAv2so9QeR/N+WTKAw0I9p7M+Kg5s5rdYMA7axN7WIQActyliOyaQO8ceqLPdU8tb
WE0o0KR5Z6Y/UdpBI4IiLvNNmKSbkOQAKVs4GaRgIChwXHvNnGG96AqqWT1LU2563ThPqnvEJHA9
Tgj8WfHnUfuQcBXySG5nBh3aq0XXmMzdFQmfLFjhKyolgwrbHhEY8FSyn9oAbjo6xbVdZ1uF9tjM
nXeYoLssI2ZigDvWKZjy024+zmPrO07wNlXmpsQwm/MNKUpj8qa16Yrj4lmIkLHCg5DyWgbYSbBg
FuPrnJjjoRJTCaxQI9AuIARPibIX8pX9qNK2VrLsK9Dla5YL8UJ+ojKtV30+3YRTF1DflWC7W707
1IwTKmt+/eV0/WeNwx8HpstTAvsN8RCbfJYof5DPzCVuJDkUgW+V6RcT+meG0duARXotI2/ukY7b
8g6l5GkGeBA2cp8M4ymOqfupdZkc2EcQN8ma3p55gXsTiZyzq71rHLdYRy1ZxlCnKrP4k6fb0Bc8
2K8nJ5MyewHfqyYXjKY6f2BMNcxZqp7pOUN/1leJ0K+ClH+wWXpjR4MpM/TaWeRsW85FxNY7JeeQ
Qt3wJghRr4ptHWWLTAMjHjuK2atsm2c2FGC04p3dLeQHKzsxzbjnYN3q2XiOk+6+UrTHWYfqIsVn
aI73OSaxQHfwn0YUDMSk8IMtwOMjCEAaJfGtdlG3CttWOer5QFex7I6IjLqL+v48MB0jxgBNuFXA
rWXrbVkuMYmzttLT/sHSshvWSjML4uqbiJXIN/XqYWiVb7xeRIrG1relZPeNlbxQtG9l32QbU/uu
MqK5WTG7Bf+CsN5LhOWz4wKsMJ8YXW11B02ALd8HmqyJSrTMB7/RkBFjiEfaGKfmcwE7bIijnRGM
fm6216oSnyEU4LxQyZTGR6JoGNyjrnvG1vpYq4Jz3HiZ0/qRjflNR0TSuu9ab1ZawFo14V7qzqyL
ezPCDox2qWiTD5RT92BDrzqhrxEmo4cx11binMNC3SP0PGNXgXftgLQgzabLrTWiH9/VXC8OzU0Y
qRve+qOqZT5B89wy8TMZM7ve7qBSgNGeaG+PbTD7zWRuWhdujw01snlJ5vvAQsBEfmPUHdwKwWoR
PEtewu1k0x8ToripixxN8OxHQ4GZUW+/0wjWdmudaUDXtUx+1jmSNrdJSNMSmerNcAFWiWW3z2wM
b8tQl+DY6jVmdDRlVX9GsftRZ4BBFfEdOzkJ3O6zgUmfoIpPJ1TYFiIoKcvgiNyVr+jLc1unOzGb
G7j99/lg3eFwOhhiGtZzQLjjjLJFyfCIKu3aLTtMjQMpLU3BzfQCUQ7Y9bjDDuQi8GBxH7T5ox4V
L2FjHkepP2VMwFam9WLO9cOIUsjnqd7Xgf09C/0QQIT3h6aziP4ID6z/7RVtOM5PoCq+SVIloLFV
bZU3eU15YUvg8nTsvhjkXYlLFskXspKufcEcxXiYAasXu9NZGu0jWuSr3gbzpauxr6T7VJhPcGhI
8NJG4KHJA97ql050B3Uc3/NxBpVI1pCW6TuFfIdRVc85LKXUDJ7yFtU02HFpuHdWp6CB+0nm0KpE
1+UG0QmJ0q2ezz6e4if2zt8zHp2JV2wc3ftx0p9FHW/LdmYWUd+B2upTHOyzih0JN4UYN1qHhMeg
6czt3gtN8y5wv9BkMET0DeUknVOlnUz9puju0LGcJS16p5N+rYMQEyuS5R5hWXkpVQcZuV7BOrqv
xrVIvlJmAMXgMB54sd2Hge1qPBorPfvGXL/WxM8uvCcgaGs5i6P3li5whYXmruwgUCvKdaLeEZJD
6MJ8VJH4kf+FcXHaxZaxl/bGNHI/BaXtMn6urBuw9a6JyszWX9rOWVkTn2vC+Rz3nI8DwVi3Knxt
HMbRcx0IOOwxlrP4fWiaTd59jwl23Mp9H3U92xA5+q5U1o6UtB0hNZ/9kDAxcyP8A+D2JtrUlekO
azGhwnZLZ59EYKWUHiG9E+ZPeKZDH+OC8amgT14yz9YgOBwi8OaDKYuHKMTyOSfag5sqP8tpei7T
+WEek/OMi8zrKxTfeqEjimvTzC8yBzydVXTrfig+ym7eOrO9axXaRhwSnupQToXReK8YzBikWvmD
ilIlGd5ai3JYk3trCDR0NcUKv987G+grd4i+nKl7cImj8upE7MCDwyxoKE3cANNkYKv4uRWERH37
kOkzpV3uU6gfCdP4TtXMS7QtXeiVsSSvlPIaZQunr3Ed1eZpgubj6DVhXYHOvN+AD2MMprIeajde
tyZuy8ZwWz9LsRz/t2gOBKmxlGkVMqZUQDahAnuI1RzlVVis8hKFZNgEd3qkXfHaxH4ARYxhB5ii
0maGacMtwnVPTgzS7fv/W03r0vd+kAMBiw5f2P/477/1wUs/97v/8C/Jorfdl5zuvpoua/+201r+
5v/pH/62mvuTTvO3BR3N2n8stb7+CiMCyKe3f7LZ4wt/2+wRKM68Skf4yJKO3pA/+WvT6Lg/HAjU
jFld59I18id/axqtH/+LvTNZjhw5t/SrtPUeMowOYNF3EYGYIxjB4JwbGFnMxDw6AAfw9P0hVdKV
1H372jXrTZu1FmWqklhJggH3fzjnOwCtF+QlCiHLZe7x702jQ3wpe2IfFge1ygLJ+ttT+LNC+z/B
xM1lU/mPpQ+bPUBcFlrrhaVIHOq/FPZ9iIUAEanYt4BYor3ZZIJBIAIrHHAcKN9jhtMaaRHCD8cS
/ZNtTF60Eai15m3kh9ZLA87oQDaVYFEgcMesikRjhuuobmx2hRZbL8tO5hIqpV8LTXPYPzucZmt3
9L1+hZA4Jem5wmG8w9Tb1Gddq8bDJGEfOE7EOAZnd/QsHZfh8sDIkDG7oT2T89icvN7t32sb5gWY
ZH+DRCDDKezddSaWwWDpvDuMmP2sJjE1k0PL1dnUdEeY9mDl2lF01lPpd6sWNcTZiVkoBSQzx5ik
c4/Yg7ygdmuLa2Mm5p7EjhHGzWztp2RiVWk3/pqhGbVRkU/iUcUwiBBUeztlEBxQe7mPeRjtukWx
vLHaoka047OojAXLStusX4fKU/09JIrYXTWyuhu+Vi/ZHAluycpks8PyIEyiI7rN4bFh4oa9CpZH
dG6IEleA3YeBoCiVs+fAkDwCOGT7VAeRZi1KQewsRLkbOC5X+eBrxuNsOP505fIV5aNh6xpWIh0k
1j5LtTY8xDXKtUOvE/lxDAdFHm1F+TJs+p40hC2rFbhNudk4j17RdubWmL1l1RqbNpESvZnBg5jl
QEI2hrid2+nxN6qwyOX0L/xd2fbGK8pbBJuRjsGbLuyX74+nHiD6zSRZ5Vy1U51xm2t7bfSGd4xO
6Iv18KZGuFeiUXjKurFAMt+qAKV08mgkmb4VOhqIKg/ZsDSOrnbSLuW3VQzuvjK1ONklA/SLIK/o
TAkp8Z4dNwXyM7kVWySgKt5Tbmhkp4TJzCqSiyuRXf7UZRNAGphDKxAeLJSQch/Jjy8CTSIq1RPv
2LcTS8XZmJ9DMiu3Q1M5R4FUHNOPtltgBtdFFp5VUi7pdMk6NoS8ksUZbhWyvGJF98XaMm8nuF9V
TB/fIDGJdoTv5WcHhRGVq8VMtcgL9E6M1JlT2Mkzn9b+VOkW1YBuVpMCG5CkhyniplhVYR8UPSPm
vI6IRx1UdvWZsH90/G7ZFlaEeROrN04EIWEb11czqCsAHNRXReEyYUiKx2aqdpVK803j6/MrpKTk
28FkvcEmRtnYR3Lnxn3Kc08nesyo+XCxrh2wSPQgyKefVd/XKAwns9h4LNjp71P6j9bVMvxcSjyp
Cgjk2uBK/4F+2JAbHV/QQeXYx0ay2ILEBOwgNLOHVkHQut5g4Zx9F8/ciOW8AOizzWHzYouN8n3u
a0e8s4ITphgvwtF70lykQsUe5bfIt5qjrNOSrWvsXyOrCT9tNYTdX+Gz/38A+59ciwSULjfEf3wn
Irln0Pq/oUP++ZV/OpDsv4AdZETgcf2hfTL+fim67l90vD+cRsSo/uZD/v1StPS/MPUl84L+nTms
s6Qs/G2SitwFZiRf6fuMUnVh/lcuxX+5Eu3lbiWse+GWM+4lKuCfZ12Y9Fma9c6ww9vsPyne+GtZ
pUReWH7SfoGLQeehA4/5T4DGTGn/dYJrQL5EjO85y3BZoAv75z+5Z88zjM4wMDnsw23SWk79WZhk
D9L/GzZs+dpgLpG0qn/PsXBAX7WrGu+dC0FiTV6OLnZ6ztxwLVsr/wibMOlWk8G0l1s76tZeazVr
XRJ9t84K1M17ZRLEzbrHIIjHUB1+/rrypi+L6ZDVwQnamdjIPgq7GD+nyvRfC0jlRBGYw/DI1UK6
XNah805QviQrrw6JmRoMs38vbczMjuEMgVcUJzsB/gimdlJECcq5/MJ4s447awhmoiUDGVbkYrbG
WbYqBVGZuW/YLJqdRYb5mYuTxi52bPo/LRLhizbkSbqZI42YI88c12Qz/nQrh+KhsLYh1o1DBwst
wClx8+Le3Q5jwZDABRvOnOGVs27gjl1qGwg8g6e5GJLN+1QQ5+ak+SIorXpm45Z9LWsVeCMoMoq6
KIhUzxe2jbMta+bB2iJ6F3WbckKZnzhvsHH4NgYOSYBcjo/aandQMbdqyRdsyNFbgaPdCdHKNVu7
nP9TpdZmKNVVtagu0NB2B6JHW6ZMst+CaCuCqrV78H46or1IApZUibvJiE4JJCfsjvDI/kBuqrG1
E8s52LpL0OZgNhuj7fsj5yGRq4ps0xkH17p3QOplYcoFXUcF1oNM7HwHLD/7v2Q3q5akKrBfUCOJ
KiC4ULO/a2OI9j11QuBqQnuY0wEWYtUk92nOZYa4KbcD7NZJCvGACpKZrW4RT+GxXwxsz7X9AK0w
tgeFFOoTOgPJ1fVs8XtPyAz8iHrbu8D0Mb6QSBffWMdTd+1ltWOtzJiqKKqys064E/VYqycPqek3
+FubU8TangCTuj7Gc1G9FQjredZpy9ZBJ4luJv1KcZ2TEaixjtArIRjxiOpWwIzD4B06WD0g0pQB
q0nngWn8vCibrfycS4ZZo1HnBXasmEnRAuDD4GvrQSPK2dyA80C4PrvCu+gtSgyYA9PwaGrdBFA6
nqJjFNUMCgEiuB+y87jc6Yfnh8a1SCJu4B7cJ3AUB5ByJI0LJNjIhSvzkBk4t6h1ULJgEbCfK0bV
jGmFl0w8zMWybk02V5tBlPTVKqrhFVIjDT9TbPVEoc6cJdLsVm08RxEEhp/f+Fk1NQYnqzBeMwuz
8a4rDPtXSc/qb23LBGhgwbJizDZPjnb3RMcym/TPUya9FNCkY7YW+wud4aMF2+e5NxPm00mjndpa
x8LFf6ADRYl772dS4Pn+CrnNZ+0a2tO3iLIvWcRnY0h3ta7Z234yrVUxmPl+iH3rKiiIgsbuz0mX
wcqYRHb2O6YNs7H4CPUaQcQy50vr5gGgtLwBt/zGrQI+vGqLddjl0V5P3fpSYg/fmhE/kTsV9TZa
EjViZlg7SHAeWaLoHjo1Vl+zaIftVGjiQZ8QdlE8huocymz8VbD7xTitzOTkx9jS+QB7ZojEDT8m
2yDH+HJTlRzB5+Qn33WvI0493HjS6IDnGaUUPxtqmjxZudVkk9jM8IaosveuiGhTpWRcYzgvWTzB
8yuH/tFH+ouoMQk9WnZEbYC3f9ZICdkoVbaNepvYQB+vxoVVxBrSK6pKH8zARhVRguw5Lm6aboTN
2rF6a82uILy7uZ1Zz4OGkWylo0U7ZBEGjk4r+gepsMZu4qqpkFN009VrGcUSbMTgBEcjmAYnhKgJ
H+PLw2IZEBHi7S1voQIyJF/n+ApRV5rmi5dDoXH4Pa4Y9vBvGPkARyp7GEIEIioK933OfL4q4Abl
sXupTREf6Rd+cTslD2Xl17sc5C57Oz4p8sCiflzXIYOeTYsQC1KFjIwy0Kam/U60CUQi0dT6mbmM
DFcmoETwkq1Gce85A2uZeLgnlLtEQ6OSz12LjLjY6HdTYhEiRG+b7ByU/MO+rtmBbIZh8B7wPRWv
Lr8nYqGNdj8BJfnuB2Hf5NiEX1OeG/YTChuO2W4uY8buHSZHzLmiJeaR6gAAiRGBTazbGZftbCEV
0L9qvGqLRnXeIfSAapb4wdiW7xokn4JgYmmOWBszyw3UgPt4lxQ9ynG4zR7Afjq3Z4UVBdIhRf2D
K101bibB7jMf6IUmr3wMLQa4MdahQNaFdss7O3wYaZT4l7KL8mzWt/S2BqKTwGwicAzRoTBcOJGe
3YJP4WZyWppOnKT8CPEFUd53445/TJzvByVdSgUd6Ugyky+qjQ0bTvy4TPbBsjB/PtO2jriuWmfn
DajFw8gEsxFH/JLj0T6hWnuNLNqgpkNQqkLF8RxZHcJTG3ZWoc3xvRhr3HtpsmUCsEkKYWy7qTfP
8YhKCMqUwWjJTb7HCDJY2A/dJZcowRLNMFfVOGYAgpB6Mp5qd7U7kc+YG2pDLWitpVFCARnnF1Qh
PMiiqjeF4MHmsKcvlTeAVZP1C6NQJgNV2e473+mXUoNdjiArukJSsOME8k6RUzNRyFqBpc7MQI3Y
Yk/DZdO9+TepTby+hWlfIUptdJVLQFXtMNo7LRPJBm5FRFbo0u1aLaYimdjOiXJBfizx8kSCo53e
9jKRN5HUPgEanfQ2VRmqD98F9+12s37S/Tz7BbtBHDSunIMx+OqNYEJWEiwlh61y9KqlHe3JTXT1
8Jcez/1eOOiWccAiouSaDXd4OJ1kVSVGfIM/zM2ZRYN+FJE97kYztT59o23Og26OVwRMmVot+cIJ
z9sUx8gvWBAOBGUcI7NPniLfcE66NxjPyMbCnznSsmFVI9TaeW2UZBxMRnhIO905IvMkiJuRKnto
S0uOix8Y7FkEwmO3bP12BU7+Vwtl4cp2bHbsxTT669jMo+8+K/WBeDPfrfgllGQmstB6Nl2R7pNY
Tqd0TOddqU/Du+1AE+zhbJDvSPnwAENVbk3J4OTY6ajPN05szc9ZOk0/+1QQEFd7WXYHJTncfUiS
hCsm4LIpbXu8vazmUhLBX72p0h/CuCyPMS4SlM/QL7j8XEV4KcCL98RuCF0v9PzkjNr4PKjC3g/E
nz+Cy+qoJkV4g+HkoWnyjFNXeu67lisGTVFTvVt2eJAVvEy4N0z0Ac7hCiexsoFYTrxvRkj6Kol1
QohmIhGEiR4O3hWgPbdtaflNCh4GEOPaZZgLqlsuLBNST/kwsZ4oHkgLQgUNiHRlwt1bm8XU3QWs
t4Nb8x2UXmm8WGKAA1S1HR7LEO3iZkZTa9y4Irjf+sgdJg4wLIeFBCeQ51IGPiDhLYE6+MSF3Tz0
mZ0yyfdJDakNcDc06olXTjtzSMW2ISz7m6KF5ExRdyij5xzdVD9O5a5wVHuom0F+8NLOd82XVJvO
WO6ylj/E03Rzk7petiFfKkI/YUW3amzNByX1YfysLHNsHnFbN/mTJlTkBl2NEpxOhAZvHRqQ4Fdd
2Y4hkuNB55btwQKs0G5oO6eu0nthq+h5rI3k16xlJkJxgWgStF+061tdPjKJMD76yref+1FBI51a
039HJ+vP0GkwEEWMJb9HxbBLE7b12dhoPVdQgRJ+HbUY72w17J+tVc3HSFUWAjvI3/epJdtHzAg4
KdikwanmdE20a0ZYS6tWWv2b4Nf9mYWu/UJujGifPZxq3QP8XNvazCnWro3BJnuDWrIlgWRKieh2
2MsHfhFBwEt6Y0oOtcGHMOgjLUyp22W7QW4tiKXNeHvtKfUMUMhDdILOjMCUwJP6IWrdOA6UZpmX
Rqtdg/fdNRnnD3V0aKre+shJYNmVhl+/1r7JypqWaN3YdXNvHbiW2oCoN5dBLT3v1E2oFoFAjivI
vvpn6hIpHpV+imrDSV6JCtfejbpyvI3wJ/tDEEF+HDo1bQffq65EJonHCEFqtDKiMdzbyzyJyd6B
ijo+j6at9g2UrH3PI/wEQTcAz9DEzY7rdlto7s7oKveaQNpm3Gwaiw8qvZek0V8WxQJsIr8j1Jzc
XFSiXqOD58qn8FS1sKRtpsOXCBBlH8Xf2lCMj7A5QqR4KPk4reHi4QgZ/F/9QgWP4eNuydtDQa7M
+LX1/P5Npbw5OU6LtzSPogDGpHUp+6w6JrldgAa2f0V2rK/NuvPvDeXsDeNhQ3WV1D9BuQOTi5S5
L2UmnufB745zpOsbY+4UnGcLx4WWsUwMnfSGltbaTC1umk1h1N15DAlsaRFZH8gHjh8HBgCBVUN1
XsF0qG89PekXOnH7MS7KbjvN/sJWr9rr4KjsULnNW6+jyglGj+R1UoesfjMyg163ijhjlqczFnWE
CcbYIzvJLWqgLoX+E1fmBd9kdiIW3X9P3Cb8EbJN3jkRdRrX6nDHlzn9SKjFHsoOpvgsw+7S46F4
6qjysJoQqbydIeYdLduuL6HkIz9Iznu3rvofSQI9Kpy75HMC+OCsUp+W2igH9+K5NGt4Rnm7Em6V
IB7QDMw+d4qnlnzgiR6LML3tXMfppSRj4jX3HHl08F++EqJBgxqLgk5wKAOvnkC+xZZxc6HIHEN3
UIE2gGMYp9qE3lmUv2w1Iu1K9NJ89qgnH/SCO281laHFrpwl6prhfnvSI4lNeA7TaK/xQTM2IKvx
fHRd1r/1wEXZ42l2/daNNZYMzx+NpwxW97PbmvIz1YhrJ9q+b8pg9JvyHRhC+Kk6Hd6mH3G+nID3
iRs2y+h1bstMnNMyn8E5C7zE2zRDARR1iv7K6RPraxCleK3MYgYg7FafozLqgMB4960SDGkciHjn
iEotWSnODr4huKBZ6eXbBKjdne2BsTFE6+x5kvLaGnK4zNnQffZFP5wMjEUraXohymn0V8SLQ5OK
ZXWWyBpXVZTU762rJ9soK7S7Q+gPjmU9XBnuGgvSUK3Lqiq/KwCv44OvRbGzB8Oo8PhgqVr1KjJe
4V9UMUkAY/JrYN+09VvyBaeUtf8qnBW0sqpkK5vRQwZRCCZDugnYKX74iJrAJlaDxl/aBaq7oT1P
aEc+TD8xnt205AOUGDPfg8aSZKo8OTIIQsluF80vmSVgORt3Kj/nNpx+oZSLD+DDOYYw1QZkhVSB
M2gI8cbkK4sYbBkV0Dx3+oR/NQUdVzMo/s5aqziFCTz4rxwy1XFq5ZMeKnPHcls7RWnn8dusyIj2
c4dgkuqc9XVIle7du0TaVygdxVmPbIz8FmEEiAHD7OB0ZXlSdikOyTjxcQDB6Bznou2rAMTAck0V
26wC5+CTQcFVJXnTgLiSE+BdkmiKwSTiBDEW2GvMx+cLVjvUraysCr4eLKyIdecy0EFtRW5193Ry
b6RtGDvuZnXP0CFD/jMgzPaao3a55pO5yVDq6sChXWZCH+DMYdMSZGIQDKWV6ZXKrohWiEvTS8xS
kmkXYVUR8dw2OIKUxhPI2mwzf5u7ACBu/qoTsSlWvmrFI6VBDs00xqVipjjYOuUSMWmz60pzKwks
LD5ozybeyzz0V12OA37bzWgFufSq9mS3zBIx+JnhWxPB+JVtDVZ/IQCnVU/shYg1DnB7cB6tpG8u
hBLk66ppwlts6NZF/w0VDv3KPfXsU2Fwgxw2MUOc6k6vTwmY9Dvyp3pbKsEkzwTr/g7st7syXJMw
nS1JSeMtbONm0NiszHZNloI9/YHlbA66hYYMcEb/1uYoOwzhHD4JTqaVcHsc7U09I1iaPYSGCMm3
raPPV5SYqKZMdyHFp4V3QRBeP87aqPPRa3T+J1Z0e0GS4+c4LOx7p05fhNNwCo6VbJg3ksxVM7wy
VrzUEDfYLr+SF4o2QNcHai7o0haU6X7BTUdYzGj3cDW0pvbidWjf0wVPbUwFaBu4yOMmHfPx0UUX
sG4mTzt0C9xaWzDXuIabH/qCvtYWCLYs0oTDWO5p13cZAQ7XAbTEts08porzyEXK3zqHzvaKM2hf
tbVyrtOg/A3dntjSbmz8hm+4ehg3CG8Kd33WtAYXjzk8GLkvX4WYjVdPlRGspSmNV0yuoBQMIk02
bk4SBMKGpH7OJMU4bEI5TjAeF1C4ljPLOwGGNhnJ1pXJ55bhB4EWWaS9wdWXRw98IbNnimj4FSSa
3effdPKKTNqn2J1BLrI1Ytg7s1NXATzcnii8Yt7NPczzzJzF3fsNQndx5TebFCwi8rffDPW0iX2Q
1fgY+3XvexZaRJZya+UnaMkyz6/fettKv4bfgHbfQypyGPGrCqCStv2c2HP53lih2mlp2VxHgBJo
dnHTPg6/Se/mAn2vkXPcrcFm05x1H44BFj70YMmSW+3/0CpiZeASIfJBen6Unlm8pnIhpZQAOre9
iE3c+QaBSVN34CkgU4Mv8CASuWifyT146roBvGM4IYgBfXb0GtO9WRPY3CBVXn2O+hnlS7fg7Zka
CKy75eIm1dFdrrRx1LCSuqrdM0MGSNlG1fieeIILghHqdOkK29308WNSu/hEolL4z1kXlueohTWS
kUGK7g7wfmhyE+wl1wwMXNAFXyAJYPXHuCnwt1VIaFZMndku15ZFlK2acj9I3AlWZ4fTwyE31yuz
wAKrteUaMW85ipdHgPnzG4Nz9aiJvsQKZeTsX22562RtvVhZNl6turM3iacpfVslpA7I3EnRb+fk
3FQKimtXZ/FHMor81GnGgATLJI6kwI8MTNgjfYdfQc5fseCgw0mostadqw3v09wRiSMorrd4rNKd
HqNUHJFP4DuyM7b8GQ/iscJeo0G/MRcGaQyOJrEN4ykKFxZMUpDakyYu/qwluKHyBdJRrDHOGhAU
jdRIwstDWxnyDptKJxbRKq+T5pAEMYVJ8zGPCL3F75SIofHERZca5tCkXHSESdcYLyL2zVPS+GC9
CizFi6SB+SdcFIgp6UT+RJIRhlT/DqVQMQXbatAbFQbDHJcAhizauLkd8jc+bcOwLvOEm4Cp53iV
uhX+ARFhOeB4iRwYBG+ua5kHy+jmi26W7jFe0jKihtwMznYuIOnr39Lu2xiFITcf0B4g/0viBow/
9zhGaXO2FXkc85LMIXs72YnfcR3K8xukEd04/hRpWARt3gf0EHm67kRX7kt7JrmDczsY3Cp/spGi
HzWztFZzNvXfZdpY9XoWk72rc+zJqe2O1GhR0XwatS6JtehdvLAQmreiLuVLNljeI+71HIiK6z7N
ZstfcA5tZTQ071FHCFoL+4d1R+JKDZk7/PueZ/gEPKn7gxuo8Fapq3x8mYYFxx1Nb7KpZHzrC1fe
AZo4bA84W8qV3duQ6PSuuxX4iE418PlnI4S1BpDLvYmxZJqgT0X/Y2astlzIg3nxehR1oUtXsopK
ld/himTpOvZxVT6FYTU/jhkrtpji5qwvyS4st8pDrhvxXZrI98xsdNbD0NBqEO5CYg6G+zlW4bUY
JnHky6Irb7f2Rfg5jGWjeo/DIdsYSTV+0jJ7D/2SMDONxTfJIEGR9ZBl4spbm6k/XUQ3kT+lLLVr
KxdZeuw/TYk0N5nI8WkJRpeHTuqgiCw1gqkxdfEMoYe6gqibmEK6C+yc9xowoCRfiPaVDQ1hNAct
KcJDR9n+w8Vuegt1Hce7bY3t3aagpxPIHQ27N/bp1bBE7ySDQwrPtATyRNnYntmu/lH9TuupO4ll
NTLdixKV/TgyzvhR/k74gSNA2k/Us76Jez5NSl88wGN4I2+GBBqdmULW9uavugwHDcNkA3HGqKS2
eF95iEhI1VSsHUoExCxu+WZFXFlx4VOyxEw4M8NUhNizbamQDdav7FO7Q8Hz3cRNV+3HuPUCLBfW
xgPxVO10iziTEmg3S6uO4CNhhfLC7rDfoP3xfgGnkielZVinue4/dBg0LV7C3NPWmT5ArgkdClk3
ZW9lzT0djGlgUpUmADtzCWPy2OYw7q2dz9qxAdnGeachCMXoZzMjSeCqZfOlAwtrArppamiXMn5y
SnY+0BnJIyQV5btS0/iVULY+N2NPYIzIxuX8J+zwLOA6w1BAMPyjydhfYoyg6WFESmkyF/R4YPU4
jIfec9nDEDvARZN18YVkE/0rt5Y8K1WHaCrbiYtrWrKuwgWczg9FpiF38LiOa2s4TA5ISFBsIPta
6WCZrCOzJDw2zKe3xstM9jaEbplmzZ1fNgtAWOhVuK7CRX7Zucl86ZOQ07tTxHi5xPccIwyl1srJ
Jhf/ZAoZWuhs/CD2VNxWKGURDRHm7DzURRK3sAAsUJvp7xwxnEsLolr0VnP2x5E/JlsSyELUbD5x
Z7bxkg8texSzzE7j4I6kQKHAPTBkLyCit8Qi8W3w0q3CPjFf2NlaACFYiCKcWqLQwDeVDzUb1Ecu
L2qX35lpIQld8gDj38gC8IvjO/Nmc9Mi9XmOlu6q8ICA9kQtkr3BfnCjEj0jLyjXL4C8ze/MrpZL
bHGHhhmeDNvohxDVbwVDk+HwaS7IZyVRcHwA7ERqgbEMycFjkPIIoczzhMGbNZgbLVWPpAXdLKiA
dNfyvSfZ4ziFJfwsrdQ2HQFXgZqa4adRO+mlp5x4MJfTOZonL3BdHWfoUJvElvDfcLV0aLx7qb/r
EJEeJBzPCwJ2/BNoyZagjwEoEqS597ivZ8LihvIMjxieZmxoG9sMi0OOc/YPPBzuJqq99lz0VXwN
5yZt13WikqDP1fyHjKx4H4F/wFtSqT31OmPiqscD8H9L5/qPMtd/uyR/tJWsfnW/5a5/l7/+FnP+
+9/9vxQdqxs6pBGSVP9jedAlmav2s/gXweyfX/anYBbQsAVpxvkbgPivalk4OIhxMDguOAILMAHO
z7+pZW2+QoDu1XULZazroFD6mzDI+AuZ1AJfEhs2vlb8lzg4Bn/GP4llHdv2EBkJEz+BAQjnX3xC
o8FOidZo2JeDjfUhK+udcppiR4zGgwXV95Cgu0srY1yhz/hphoKxpMPp8g+P7PZXX9J/K3tySRKW
xf/jv/v/C45n+T5MEze36zJfJNb0n3VCLOFIMKnCYS8yme87WO42GrkKv3Z/juOT3ewb7swieegT
Rc3ocOGyLr+k8ditmtZ67kGjSnM/y9c5ebAAGVjpCCPK6/A5gaBSwqUwAeel6CdZyjySMrMzFgaW
Uws90PsXJdMzyMsNSPYNKWc3gj6uKguPpoV4XhNbrKJvdhFdSWMpVqmTPTPgIv6aLADCd2hk3V4E
jhhG4nE4tjaAymTQezNmhCphilY/WxPxTeG0TyPrpnwJ02WJaOXBSsviHBAKHXs161vAyOwOxXmA
1rJlYLFmylBpFQZ9C4TAG4Sge4SrEwDDUUbjHn30sYzLdYrfQHebJ0yHH+QzkUAyZg90bAiSI5hp
yKrYiTsJQW4Fe535KEbnJxEge0//gYfvZaGLRJ17wT14F6GxM7FpMbgPlAmOFiAyGw/fXE89oJYp
/6ry4TtpLEFnbRkBY8Bfpj+zOHLMmEQeq9iDhG3IHZtPnaEuGtVe4EYxdwFCLjq1pyKPDq1+l6W7
FrolgtlWTyh+bzDLtpaCAfBs0bHl5bRJRNAJdWxS66XwvIZ1K5BP+dSU46+h8OhM9Y8ZC9dU6/4q
VvU7Oa3bySHGqyFwtEBEXIQVrif/5XdADmZhwWrUNiiyx27YMJd7YDHxDrb2xHb7zuKNGbvbvxiA
UgzjuyoA7+vDqYdexDiHyenIlNDoHGvTmnRFYR5wL/1ILdaqkKNW+kgAOB/NJhYvdEQ6mShMGRt6
xylGACWRv5i6tinS7g+9w+8T6mG2mpb1AP4NQ62JaMMnZTzbxRv7tPmaZip7G+biJDP7MRyR0XkT
/jSWfOrAwD9wh+zkln4gmpL00+xd9OHPTKvIbbrWzgvjx3llNIsSpdYfzc5l/6/mA0bnN9so1b4f
qmBIYywl7nkYm4BemUBM62pPj61XX1zdR3UXO+BNp+psL3OUnlAsGvRbN4b5hjHi3kK7yGR5RGxM
nuvei29M8M7M9NatDz7YQoQm6hXHwS1J+nQFSeGtnkFQZ+ILDRmBW/inM81oLw07Xt4colgSwUIB
9zbrvS8n97ZNdrMNppq18QhcEzcJsahIenWv2LO3oHxh1DrP4k3DEG5rZO6VoxvosVkcrAph8mDo
CAkBm1a9cWSGdS3N+QXvoRM0vfuRCMG2OXHwrjjriVwEAoivril35qLEmz33xJpyAx/6DzHYsNvT
5XUyr75OGk7TOdfEjw5j5v9g1nNIeue7yoxD2syPk25T9psVI9G83FN0qnPeaOm2ckfYOm16X2wj
6zlEW225yaY0bq0gnkDqPHlIPpFOUVUnlyIpFQFJliKeY9jaE22tJpyb04aPRZ4COS7rZ3abLKFD
Gyt8bKw4ab4qxw/sSbwWNBiCf4DFCrmxdMgdHMGFxu2LO7fXsOw+esRGe1Qn8bp2PaLtpidXAfke
/cvodqcqCnHats86PG+kbh9d7vwwEcv32PHIY/1opuyNIrPYdTU/h0CKrpFeyn52dhMkiLZ29z0e
T2E0G1Kvjx2d8LrPpnnVULOBRWrTveupg9I9vIIW/Xn9y8qKXdmnn16EwlBN4aGE8krPwJtfUsIj
H/R+oqR9HZlSQJOF6s6urrH8eh3budwUFtorpBV7b/Y/0fEjpJc+n79O3+XMl2nwtBezss6jnOSG
N+yhm4w3kiy/JpdkLxtq6Vov2IJkLi9GgS29IzPXD2+lBp9IeWd96B5mUx9WMnXB1rTZBerYYY7s
n02k0eWi5iZ6V55nHiu8sks2KMaNgp6J4ShL2yIlSc72iP2JHISW4cbSAbCPdJRGX256W7u1NSaI
KY7oVlPtYutOieCPgLCq3mEmvAMWkTzm6FHm/a5x+Ty0wD3dbNMK99L71qGa7aOSCp7tUcRLcKOX
7Cu0sPoUHoXz0VvZS1hIosfaHVMFEiUJ5Kw4hGgptl0c7moARXX1I5Yl5Bv3bWiNA5moQZfbJ+YC
ezXU29AqA8OHoELxfNATwrezFOSr+9SEKmg6Gz/JQ1N1b1MBH1nle59Pupcb77ifrsCi9tmMzd/1
d0kXUorLcD9rMTmwQ/ssQqTYGbbu2B6zo/if7J3HkuRImqRfaNECZiBXh3MSHsSDXiBBMg2cGDie
fj5k9+501+72yNxHSqSkDpURGeGAEf1VP1WvHhELkXUrB8dg4Zv7IevOhnseZ7qa7DwmBqketNm6
TCMrV8Voxk945TXh3osx+lVNJ8n5mUvXNcIg15NyF842SWYycBb162W9sbqEo7Rx4vwW9EP8G9L3
TyTtq8WYG9V6H6fypk8D3hr0IqH8Ny8BdND9bgWD24mlk1BPI9SdqEdewvKNV+SlpkHTzT56L33H
ZPohtWTdpMm507urmziBVQqWlzC6CBYt+k8eVFMe8U3ddX4STBWaqcg/cqll60mzv7i53vWduS/H
6UIGN1+3CbYt39jnFo4l8toAz9+w+mzghu2JVn4zlfvKrekUaRf8y6tiNPGbldwBo+rSOBBtMsIT
iUeC+cnMjxaLQjSsbZZl6pCiNg/slpQwuIDBusyJd8BscNX9+Ffv9cwRcRzaIftn2TKAWuNBxQKY
6pdSUr+Y+fVZ2umDgn6BL/qxw5gcSYBYefseXYrsbDbPiY3oWZPqbZK7KmkAWDXlyurjFzd2qafD
llpE/FjJvTuvi87d0Y+0L/PmxyZdE8Xpfqz5BSrzbOdY/xzQxn4db2STnWwc0o7rvKhRffl1F25a
G3N51kcvotaaQNB+FTBefB6xojwMs28ETtR4K0PXOdiUSE1U0wSDpo4pENm0Ba1c2OIeWNa7TCbo
Wd1r04NAIMSFIKpeVFrtSZeALVQbsSDtzH4nRw4z862nvr1j4U2psLRE/lhXtOSFzW4yxMbttcCU
F9C/PgO68ez7POohzL3hdxblhE0f2to/Drl/T5DxmjRHLZ7WTuYG4+M4R9uy2UYOrblhicfRVPjy
ooj9g8iw3j12bEULWmxFlGr2n6VrvspBf4w7nfXAAwt+IwW7Q6XYd7F9P1MiX6nuPOr5Q28g3PEA
NbDY4g8NbXWsSemUHSW8ICGHdu8M5hlaoCS6PR7pFDOCoXZ++8C3eDenkkgXIleigO76XCSqehu3
59ggnpN5N7wwW89uP2m+xMDsd2sRYn/xOD+gML0imyw38RfKdDczsLLOPPnoP3HCkmVzJB2ZO1Ck
+mTkt15smOHbUPr/sARDMoYs1vmz1F2aBPokppksP3cuOzKOmfnohgWdI56Tf2si8jeFnKkmDy3F
GVL57Rt+gxKAEu6wOcZa12ft9LtoW+/eT3TvAgay/+mHMt0gf+s7IehgJBwb9rjO0Ak9QU06+Jtv
p8iiB8/KnZNeSxh4LPb53jer9KWEZrNhLgi8vLeWOuM2+sg5De+hZ4e4+DRhbNpKlsfEh74XwB+N
NplV8MJm8cFwJ7l3la3/4lt63/Q4zl9a7uj7nM6BXagnxlPpKGtruLK9etGkjnqR5Ce8iOqJ+x7n
Yw5mI6SoonkgjWXdPP7GgebTjMGYajjoRlOdyt6Wh07DWOGCuLovGOitw8nwDrJmbIDJOfN3HR60
C1ERuWGvqYJR+AiZftVc0MXDY6a65uh3tPxxiOPqNSqf3ztQ8ktruwaVthNWRmxXK0lJ9lPpte6L
zhj9u2LwfkpaJ9wC95FXe5zL99Ga/bvEWppIa4v3x2tk/oX/rMOcZglG832UXLHhiRs8jeiREOL0
0Ax+dWcMcFJ6OxmvilLY02S/9EhejdernT+3I4FEgyGvbZMKLqjnexdMT7Yjrpu1PY8Z2ovb3eGx
d88TG+ZHJGJ3T2TCO1EVM34x8Sju0Vrae4H58Zp1RnLIY6AtUDfAqkiqPBCOO2psC7nDBtWuHKvC
xkSRMb4P0whKO8l3fiSrHe15rCopYcsVqGnkuAw8Kk0K4tXC5EMEP8k/EpGZdxVDNaxGrnHSZnBm
Dn0wqzyLcZt9jBH9LHGE9t1m09U0UYdpwpn6p4YnczIYeU75rixxIXf1/C2yhFTk0HRiDb77FmrO
s1fMV6dOMTple1sAP0I8s+cuY9mPsUCMp5osSlwtABzAaxo2/rVN9lpM7L+6+zZo9QE6oR50hv3j
ZGxmZvJp418mnhn0Mt1SCbopOLkt9axY51YVXMY7T9o64RH1OprlzSzsQ6x7d5ndrUmpBlFi8Tfu
dj18fV29GAaE00pr3uaZ3OokY06UuXPr7f451IxrNUFK11iJ4ig9T6N2kN509WLZYzPD9Cg0jPl5
0afrdDavE2lcfKyM1pNi49fRpY6HhrQmh3KIjSum3dtetduiAUANUQl3TESveNksBnpSNN5WZgVS
efP878UOawlI/5Po4tmOcCwdNouDAO4ZlEL9q9jhkEtIWuEMeyd75Zofn+axY942ABbRmM8ddWcB
7JZyfmB9ih6H2BE34E7JVYW1Q1LDKfo3L+3zL/fPq5Iubw2d7P6dWN6kaHmniDGF23p5z4w/b9zy
7pXM+58YvCGggNu7dMs76i1vK+0485HsY/MS/nmZR2k1x44A/lGGvOvT8tZ7y/uvfNhPeT7XlxyY
8G7oBotciAQHijF1WheGCu+BnJlwg1hbjGWVoXp4OMiQlUdvwxGb3mDdqJ9hXTKwloMliNonPSmb
J71s8hNoRXWsiABckVWtLfK18WQyB9iFy+rnLOugWFZE5vvGL3NZJdXUxqR9S2gidbRJ/yym3bKu
alTKb/I/i22X+cN+Sj2oWhXnjEqf/Ecblv4mssz0pYcAsveGgeVbjwbnVE9D9GD7pfEd+hqIF3LR
VpWwyf/ZBPBvGLth2Rkwxfc/4bJblMu+Qc8qfORlL1HLroKeU74Yy06j/dl0+DTLg2SMuWG+mQOM
ZHdqln0qdLPogNZ+Lpc9LFp2M4NtjeqZxcUxN/MPIuHJc32m9rVpNC8DU7w37w8KkB4R83USLqJW
3pnT++CPOJMmy0u2lUSASnk2N51DAmTOOcCZRMNWjEIx6mfFXRRF8YayqggCPk+eldWM5W1t72gR
3QA2vN9POxdduS/pl+dyU7b0qkORU+u4/fMdLcU93829xmWfZlzEw1RAg2FYkN2XReJ8Mpk3T3nC
IrFzBtp1Vw7cbxazloaWlevY6ZelVw+9lfnhGniOqLdRaHEu4bYQdLWWInjlDmNIqDWUY1Xjpq/r
x4jb5n7Q7HcF/wLEFA1e8cy5cubxnaBbs9mMG18Lb0lS3zKSJhttSNQa2nV+N+gFmCou7L+4xLxq
Ho4jC4vNpqmw+2HdDnrNtMjy9ikrLDp9XMvs0Rsc7ezFY7pho2/WoZ7GN1dH33cosKJJ3rnFRnLz
6jgir+Cn+8LlmN3l+lEyQt4UfTRGW2fsOfS0WUqK3/mIDR2tBK/vRK8oZFLIbhaK2cY0prPi/AFE
m/994MEIErd/E51RHgtKZLe0EeJKUqW5q6dMrY3ez1fNbO+8qOzoFx00jLwk+hBTkVV09Ukz1QPn
QpJizgiGxBieq3JcHHnF06BVXMe8LNrZXdd7K4k59BwBoYGUg4UNsA2YEM2AiEROdOsxMIW90jfb
3uRdI1JpA89jxqtJYLMMnD4G7JAHQtHxWzwXH4J6x1UuKrXLXK/d5T7xwXDOOh4rkGB1DloWQ1+8
aiuHPCdzjUDHyhu0iSC4wNiGo0Wlc52/F1h81pKOLC7FXPkjgF8vZdjyCU/cWsPlPtD4/Y0/Jw7S
Evi3LNOynxuoACfMPeHBrHx9X7HtXsrQ/TGqJr+lJoZ2b2RBwVT5wy3md2I5t4hwB9k5ukBNTdp3
VUn2EywwURY/+mlobofEDs46rRsm95DD4TDHX3g33obsnXHwpaWc2aGVJKBa4n42SiqQ0uK308yP
k1ESZfc6AGtZm1krzcMmwaVD3jXK7NcWk31uIlw8esyPQVna6onQqf5MyphKT9f4hiJvbfBTPbsq
2xuKhUuDU8XNuGJiCQ/uLF3rhP8fV4TF+zUqNgm6auI1gjThJgGRFnNAjZOiLw8RLIG9pKflLfGW
S6ZcnJMjTNLV2Lg4YuAszLhn03xt+XYUuB1FXbZA9HLbpPqk6dk6SM2h7mbARU2cp7ky1mzveyjs
9yLURkp4LU5PZu3uaUhqP/rlbFUvpywQHNnD8OfktZzByBq6B20otXX453TGims/e8uRTS2HN9A7
f58y/E/E/b+IuJscRpmn/P9nWNefuIn+hfnyjz/yj2y7+zfb0QF7eo7u0R37n1UOnvE3W+cfSj5s
3/s7CuZ/j7DMv3FEFEvTg44+S8z9/4ywDBdMjGmAaQFJRvRd+P+tbLvzlxmW7XhUqSzlEBSOkJQ3
/pIxh6Zce0gS87ai80lb8nukl9Wo6fg+qZJTbuNvyZmHGz8XbAcgz8Ozwc1tG4JFO6VJYmxCLsKY
hawYtZBIcbcykcs5PYaDq3ZmIdSFlSFyYWiw9ACs87jdxIM64heu37hAZsSdyuzAvDvaU9eAuyzv
203fdNG+rmVxjW3XZlAl296nBwrvUJCnJuVKXGhRkk0bhveBxdg+xWOMobSr7IaiYEu7sHVhI9RT
QEOrnATlrxBaJ7ejwfC/6N7xAl0fOIAIjg5l53N3p4CsPHuAbV4bnTg5DBm0vFVaUXS7UjEYvLXJ
fQN5s0C+aLP3YdbjS6ziW0iIkRxs3gMsddQn1kbGbmYdPYaqdZ5gO2ULNd7cAVIHd+Fy84mnIuI6
oC3FX/qh1VS2lWUxb3x+dRsSLyTyltGHXkTDoyoW/4jvXbxyzE6mXKI3TfpjSuoXO4oZH0NPJIeC
wDI3j3764CDrkEeZdaqxdGhnjAVSUNMJefEj1qCETDSxIyzgHY5QoCnCO2n0PVYrfmnwswnaGfAg
x4GJSx653rMhZ/3emZrxEeUy8w9eEZvNSof8cU2tcQIslmN/L4mH1IehL7uTI+lk5NCDqaj08tJY
QXXD1Zcr4ronhhEZoDwq+VAbXbsjflVJ4na9JNrntC5+8YJWsSNlZEkQEsJestqcELDmUAe5dWzK
5s0hTe6k35h3ca8lH1j9TYaMQ7ErEnhB/Eh9hlfO954Xu89GtN54xkjaX1vDzfgo/R4Sjj16ol2Z
g+qfPKOM8OHHlvnaiQHbfQV5PqgGZTz4wneujmn3OR6NsMT56HJL8mnQC4AATK+tbsqvWsQ0F8SR
taFDWmIZjadJngd+pH6LQlpyB8wUPjDHiR/x/nnMaFNO5JS/b3OR5xmwBopf68otL5mZtVvZP1Eb
SN3c0G9dLXoph3oMqCfr77qW37EBwPad3vLuXpSqD4RNsMFTxbWFIG5NE1akbpwf0jqzLgkTrK2j
qZIjQ07TSIYvapcJ0fJWYyPdDUrF4GMKrQXBqEw1b1BSIX1rFWMpW9OHX3By3lu6xM/stMVlqP3x
IKsBvm1C5fq+a3K4ZYxGjsXceHStmUaI+NZoalX0YXHCMq/CrTlwNAgI77sPRZw1LwZmkzbANu5e
6AlVb6SBgOoYqgIF7HKrImccduNh8MymOxS1JG6pY8mbPmydD+mp8TCvNaIof7ibcMxgsuE41dnj
2eecb1A4bbySSxjHQ5S4gpyz7HEtl5ad6t+WA3aWIRuWuTU385iPgmK91dC5Xn6MNb58gMlueo4g
lqxF1+avhjkC/o3KuN7hnsFpN7eCpgcCWuioLNF6unFFl73G8TjsOp/G+IDF/qWr/eFsWG1D7ZJe
PGdKCFxkWAmIumej/uO6ibuD3pBdlFmm2z7Swm3fJgRwi2m2rrgGpi/Cz8Z7psYscFUrUHC9nhW2
QhTE8nsbYs44AfM8QW9dZtflj+zb8mG2nfBXojXTPnW7+UcNY78pTJ0vbNDISbDJou93xzVVNDfC
tkxUbLfxaHxFjBkfCd26/cZtmtHZckOeoeQljKmJ34UDRMcic/ahOaYhjKEhzy5F7lbmIe8s2jSF
GQ8d7FY535gkmNAKIrtdRvUkGJlI2tTR09ElewDwfnoZRamxvUjuLEYEDXhGFmHWunRG+lgXdL/k
o8zkFRhDdlYEUAPNBg+ETRzOJ5h33tehqYiYJzMcPt8ZdtM45kAb1fAsuHsQJ/MpmZxts/rocFeh
fae8EqtmoLRi7Xb1AkvQvHlbuyi4SPuVm+xTDJUoznQPfOu0gkwrCin8r6jWENWqJAbzS46aOP4E
iQOChztbJjeeaZoCOxb2RFkP9YWN62LCYsboRieYoEs7Q4cHix2sLOKrW+rqNOTUdxxAtpLDrkx7
uGQMubAYOLwFjZafyimL9zAayM8Seh8Dkg/ZSh+i9tEdu3bbZAAy0V8f7R53DMTFsHvSx9SGO6Jh
/mXOoYBMouW4zcpkXvypEBGzdcqU51V1oqM/ib5B0IuLRLLpYBhTRxQtkRK9BMTI0IaSEcPXnxHu
hqfWB5S4LvupJeug+5CYY1Itmmk/Gk1tv8LCylEOC/vYCA0bTEIbyzBMlxmExRgw8YaqKdLzjExi
trywzBiz+SfPUPfYcGwyQ+bcOOIujvJGC3I+SjwAdU6HYqPordsBF7F+c3Caum2lefn0YEk9ehaR
1S9fXfdOWHAcuYut0nomPMx65+pOWx3r0m+xt+Z1e9U4iIcwDkz/tcr8fG8QE6CiydZrym7weodB
yMRxXDsR5zU4WCoVjJ0aPujYhmd3bcYe76AHBhfIcqpfFRL7tMot1IFA9VPBGcKHtqa7GYPdvMiv
nTlr1EeEYAKkFM0T90z6/TzUnUB0pJ02OFVZaPQ8WqyXJvUyJtHCKz91fQwjTW/2DpZFKkSirvnV
UKnEzI5rB9B1WppAmk0kj1eqs9woWFoDGyTwiAXbAZ3BgKrNh4s76tUclJD4BiIGRvVjEL5LITr2
5bGJFju0PdTfuKiyPW3W7ndnM8AIsLsyQWhNTTDsEsBOq5LS2oXnIt9FKNVZ6EmPWyAj5KpPTXLp
jfLZG2rMvVkTS2ODXUucckU5dZL3SYf/tfjR8eSxlYXqbSY5dlB1ymfed053N6YVLeAR/K5VWKYj
a0qC+TdzSNVvC1ww6EJUp6+0EEP+KrMSHJdU8XTvcYcTl0G/b4C0F+bwNkU5doaUGZ6ksMOWJwbF
8rnjDvWLyanFK90PWbkpu6VUlDs2j97i/l7PrSInThCQTGjd2E7gGqg+axIKedDT4PPS14oSIAD2
O8X9dLWQoQMtnwhBTtGOA+k+1VOnIZ9JMAXbQAVRYeZWno4Ex7hmlqgRhb3RiUQCoM/T5nWIfeYi
sh0D9n3Wk5SncmnlDPetzCp0LDncGNkP9KXgcrcMe3z3ayfLcJPo9ZdUSw886q71PeYl1AUaD9Ny
fo9C51cfAxnncin3TWjCRQCoQsmTPXkCuj8dyrswpOtjlcLc2U1TZE4brVX6G521o/4a1aWWr+bR
EvcWpSKHOW6IJVsqy+q9bCugwIPf4WYifJ9+VVKA2ZhZICAkLu5ex4u0nlmgX+0V20VAffZ8wGZa
PZZ+PLwgOeAVGzITLF/CKZOc5KnHF6VhA+FOvAd+4I0rVRR4tombDDcP4wfAdHjAO8tNkWoNDglm
nNoYzvtU+6XshWOL3snXHj31wApER0ynWxUFcsD27vVq8MnWGxKShWvBPk0K9aQbDmQoGuezCnsE
aScndhfLA3w4Y80BbXr3vLH6JibP2+G2dKKcePE4GMZFVH76TtfcSDhY5w5wDsRbo3n2LDBFG0xu
JZuddCb2WaqfA+qg/R0GlnHP0zNES71y92O3QPr25Rz7JxifS7iOIvCCyR/JBlZcq+gBnbeUF+tm
BCM+xwOjNa58wwbpBBOPCnwLsirE6UqrbRFKNOPT95ruaDAlvAxQMEi2e8sRrG8l54Gc1AKHAyuk
eXVpyZr9qTlPoaOwkPQTjKSZNKm/iwo7/8UikXwmw+BeMk9PLKwudbHhd0YsrEe8Q8+D1odvuAhD
asrLF6jW/YmXFd9MTCdDX1nG0bCoQ/KsFA1KdMOGVRVIuwtBgOyOz9zbcBKLvvJ5ks+U3vk/0q94
tVXkpF8jyeazqgQCqxt7Iz2yjTK+rI7o06jjnotJ9SOvcm8kQlnBwxxP5DupXZjTZONTjnS1EkZN
5LsSmoIAgwV+k7GwwAY4DIquH8ZW9aef6e4CcxYfcRrNX2NW5xkzlkleJpIvX5VZFmtEFvnU4aZ+
w0ask2SAfg3RPMdHUFXktgCkQQFxXLMFT+IJ3dxCwwA1HSt1MnktNiModg+j3X7wOBQUxROjBWBT
lAtND75reMy08K2vmbS6p0kWGYPrsc1emggz8kjYJForhPqIntcm+mEcxmGxDAm1CpxChbJmCW2m
iE6y9bt7xwijA4AeKCeiz55YLzARWPwYnIyYQfcAh3CUs+FSydPfzEGjn6nkRmVk727CajsuhX91
Of8XI5q/8vIcn4ZJXzBCZiSNxXYZ4Hx/PsaFxLxq/C8PLRwoVzvvUmUkD9Uwt3dkP401sp97jOeM
aH9B1eI/aS7/DxPswqX9F2Q/0BQL+pzne/z2jb9aYM3YKHHipeNuiCQAL5+howzpq7J0qFXMRLot
VzLn0AxD/evff2ekmP/rOyObkC2lCQPe4F/mUZUQaM0LAagmr8ZRx4XHPpYOhKzJopASeb74+fMd
/0eK+y+kOMNBqAKC8m/luNuv7LOQn8W/KHL/9Cf/ocoZfwMa6SDCOny9v9vH/24shzjJkA2RgYLT
RXgzgTL+Q5Uz/L/5Bt2rPnq46XnQKv9TlRMUrKLX+fAsgPGK/56xnK/414dKCGp7TOL2SIO0+Pzl
HYpTL26sBPdHo7fElZN4n7ejGZRSdFtfy4dfiTehiAPT3LP3TIELs4MrpGOBJIF86DO01TfArQCN
Q00SD40ztHB6w+JAc2O+gtA43rmhdC6WJ9GRiUtvWy8UP8oMy+0MXdXlS1btVxMDDwQSj0iJKBg7
b44wopeWue6lLlVJ6w0ljyEnUY7hBMK9Q4zlZeRsJfwM7LnOdiwHUn+483oSjcM3fF1FQtU7eenQ
vzkECgNRViY3OsOJ51U/EWdW8Lu2Nf3KaZCTojzgc0qeuWjaFSg6By+gmRGv5CJItiQofJlfCR7Z
pM1so2LP0Xxx6UIvLnYjlvnnQun9O4GAGVCIG7eHyk/CG6kvONEm13nIY/XCFuLaSC5LG7l8tJEV
X1vqtV9UIeKU1Fesn0adI28/THfGZPT72GiG7xIHzYdmZRjhG1A61zYdNdArRYadIDPES6gP1rm1
LO0G6lZ/08oCzzp7P7Gluh8eeur1NsqS8sebuCsGElc5f/GMCzG1OWMHkVeUntqXqKNnPYsZmvEx
F19OV4kDtzXypVTRm/wl4f+tOKiUu5SR79XMWXIwL9KuEGI+yeDjY7GWJIV2JuX2BQhQdbAj4HN9
MxxLt9E3uD2pxZRD9NiNMZ1NCCYGRqa5OOeaAMQTd/PwKaM6OQ5MSi48UF1C5t2rYClgzdjIzHXp
UvTX/diU6xQBBa6QcvYuespL1ZQtG6vGNB2G4yPB6zzgvFdfMfkQdqWoD4DmYF0jP9U3mce11GEA
eOITZQClUQSTz6n+Uc/zfIQ+QBzPKpLLlPCgqnJwv+AGjFvdGptDWnJyygvvVtcDkWw0LyzH0T3R
X2BJvqqeKwujpuw8+zM2uukU68oOwCAQD8AYYbmqedX16j2PcJkY7thzy+9fGJB1clXA97c31DLH
T9Dv9oougQqDShdBe4Y46GJsT4uM0p7RA+HcVR225Rb6Px1gqbuqyDrfeA9Qu7iqPvqpcIq93o7J
MUP1eWtc3bvZbVJyybYMy9vxP2GxqEaLU2KssunJrPV6n/JM3en8+ghJt3AhTc+PDwwHOcrlpWO/
QD237ygZsphy1UuGIS/DVehizNR7eAeKmwjjwjFsvvQsp/m26zz/5qIac2GMWSiko9MSwnMy3dOi
yBQf9vsa9U8nPDh78r4aa8lcDqH4cfS8Cf2TW9fG8p3+vYqTainuGY6TXog72BKxgkvSz3wlEopZ
3xmP/jLU8mb8xkhYor8BTzGfycNi5BiQuvwszm8T5kG1N53E/uL5jn9HTm9ZqAc4l1HFzOjToBUU
cgFccOqjIkiMic1JddKJhVPFmVs1FI2k3kG/JDuYizDaVfDGrlR7QkfMTXkMlTCf0ryxzkqr0aj5
pTj3EVpevjad2tjoqpX2DrupvM5DYjz0Sjo72I/tuY2q/DvhEeZTDS3zpSmb9kxll0Ub/VzvGbHE
2J4y764o8jlacZ2g5MW1Qv3kcOTa+/UgT1wfkrMBpYxTuhBLipgh8U3DzYKj2sm0De+ve+embf6A
4KU/2uYI3qAyEJEwdgzus8xy3Qo6uhO+h3lRyXJoYq5eUYWjRB04nXdMsNDyzidlTZXM2KsNbTAp
5MGhbujy8KKjpTNnGfzijspQ7huGRn1EZS3zYb819qNn5A9O0pKn4MUFH5DT/8O/VsYwF08NoCqi
oAgORuxf8VzISzrm3ncKC/kCBDLdGiacrFq1/Uk6ubl3W6F/pXOdghjCRUcnTruLcuGeiE/zGZrS
OYd+nYKASLqAtag4EelnQFEudwg3z7+Mhns7bHZFXKIgqBDVW8ejHcihf5NXPzoYqUOC1ozWWpL2
P3YZ/6Ivyt044PuQVow46EtCHJlVo+7a9U50wmZUEl9NzSZ2GTrag0GX936iEIPZbHgkgSScVemM
+qbNtOltqgrGNUDI1IMZMpBbS6lVG0WTy1xktzl3RzT83tuWUfWWURN3yKrWWDsq/ko0RIejaXMD
XVWQjNeDtAmg6BBJt21o948GzrsLIyEsAmnV3ikMH64nPrqx2qOHw3RoZq6nY9MF4POMO680zwZJ
GW9Vok7TcKd8+jsGv7TXJbVSJxPWv8d1FmliNYoQ/kGk859daec72kmPCpmQiYqYalAaETPLteGR
117F5VDte5V95lOWH3Gmde9WVjWQ16IpvoBh6ndFZNR6UFha/Vi3mdrN9eARH4HtG7j92J1yTPf5
1syR/hrUa8RczfqVt7LHJJP3NFTbVRtxmNFkxlili3sGDA37AHMkxjWTSZo5mLPE+S7KBqc3GNor
l7QG+CB1yu7AJub73RRkUM3ohrjyY8GdkmJKbhZBbCsI/ZY6ZCMcxpcwjH58Hvd36B5rjj0XEeEx
TJs6+WRBrB9jh3gz7oacIsQRfFBhQWZhlmU+wLmf3zVZ6xvpZuMxsRR3J0RR/BVDSzWqr5DVvFR8
NWYafki+8UoajDQ9IoKIhpq7VValnku3L/bSyTAFu83RUXl3XyWhfElFjpFxHsRvC6Hwbejtamu6
YHOZB+Bj22dEmfdD4QtaSitVefzweEPJ/hX37AGMFrK0v2Oai4zKgewFZ0B6HBttPNZQBvHA1Pqh
ykXLhuSK89wXuBM9M/YOkeJ3Bclo/jZroe892TZrS8zhtsnrnoyXAd8lEjsAPM8geOcVSNq1K4Y6
qGgeMBu0cp0CD28sama6ebfpBvXLgqLP6YRHMR2dDTF+GnOhXtGgRMO9o9G7NT1oVm0dy3KwD2k1
iT0J/vKTDuIqaGyOFKLJVbzxCn0LLoh65dkEG60878GZNeOM523Y5lUTXgqqRRiWhggAWUHXbMht
njndney7Ex7O3/jkopg0eaiPDMIc8dMRZbEZiUAv5qh156dkngo51Kd2ltFOm8uV3gzsKr4y+lvL
fPaZMXIWjPEIcNMY73SJyuhC7SEH5STrsMeJ2QzS2oBRclaTXflbi6UsCixrfOcP9WcaneYvYoHj
BkNbsrXpij/rVWrRCCU83K7wSNKgqmJ3W0WkboREHihiO8Jl7boPVc9eHkKoO0Voy1eaPOmGgyv0
oEOGP+d6kZ6ZDaVoCFUq7nlDfZgoVaTO3EPyh0Ka4tdMrx8m1LC4WqNJi1QHHbCjpe6XH4X+xQFU
swLjGz9Zqq5POCttUoKI+O9MNdoLy2Z2QElhola737JD03SLJFtLO+nuWgL777bdYsVKCiBSVD6A
MJ+spLpUU51z8o8tkMS5bIAciGpi9WgXdsVYkJkqu72vXOdApGR6pBW7mdfItscydsN1oUHxtEbq
vgerKa5jHr2Vjhve62GVvhNqqveWi8t4Sq2dpTiDT4BBtm7sGJtcEUyc4CbcKRfL76oKJSo1pLYC
gWDN9AAKeU7TnM5Vhl+zh6reseBxfoRkUcTiwy+y9GjIggdYNfbZM1o6V2bZddUKCTt6kCamnRx5
Gn/fPH6HEz0yTsy+F3om33lq+m0DiOg8ui7kRRfPddvLV4+qSSg45GEZCrwrJUk2gUH12+pg5Bls
p7K/Z0elcMPiyLvWGQPgMtOAOIG25ZrVQswfvpHTulvqV/kRXRCRPOn7g0WV0JGxD21oTaqvxzwN
9wP+Ol+vWCDrLDm42c/Q60hqKBCHpORLcYTVmRdl6nvSoumU9Y4kuhtncLLxDGEIHfQN/TTltgDH
tqnswb5qwpt2c5Sq+6ErgOw7ZfWl88CABDX6Q2JSjhabCYR8o+E4Ufsak9Opxcuq47+W8QR6JG44
LyTZZ2r4Mz8KdoS8mKNvLmMmbfcgMqhcIVTot/Wzps3DI05vzIl1YRnvMPm1j9z1u/9g78x25EbS
LP0qg76nYDTuF3Pju3tEeOybboiQFOK+GEnj9vT9MVNVJSnVStQAM5gGGijULrnT3Un7l3O+swNQ
Ux+ccQoyZMR5HUCZLWh6UI3cNH4BKRgVRutnqCf7IMh2kP+ghS1rYLiLMBLWdcv35XhB9jKV48Av
a3D31aKZLEN9xXp+jeBlQ0YAOBK0E8xqiWmj4O+74HIsA/7+ms10T84gTCeizgZxglyEnM4r3tUw
HoaIZB/t89eYxLQlHImI0cvpADqPTAO7QeNtVfC3ucpXJar+be7NZht4oftkODJgV16Fnw1qpiX6
u8Q70TjBnq/HRmDTe1dMC+tLt7OLV88PNbWR4xwrQUmLNANdYoBse2vmMhGHALwqS3bTGC9VWfKI
JzE92Es08Xh5YfNT6lf+LmxS/7OAiLpIDp1pBfba+xi4Bvl7CNSzp5oSaVsHE8mpw5y/wFZI9hN5
2AdXWuObW8YFZ0eGxRJGF5BNcuFv2Zr2p8yZx1ujbYeWwX7Wr0GtSVYR3nycmVTcBUXQvEXQifZu
M9Qv2Hjw0c6tdSRgjqyzbGiu/E4KIv8QMW51ZwrYhqq67ZwOK6Su+uZdzFH/YECq91Ztb7dEu1Qk
COoJz0sGJ+s1by21Z9H6NclKElnhDEW4gRPrxo8WxyukuSceHB2qA4REm9pwNL7MWZ6aUMqdMU3F
i3YyKtfZy29Kbnf8inl1DpveOefYh1GltPNE+CYLYdLPZHuTeV19TXHNBsPCTHNoUsmjRnGIklCg
mgBZvZMfa7fw4aXNzX1aU8OiMM2KQyEDexPQxVzKyISXk6OLdwXLUmLrPDjXWfRkp0DLwya0oAvO
PXPr0pUrpx3mU0F5dlJqHl762eofAqrQWy0HTpM5tZ4KOWLe6c30U+RpzqJwmM/O7NQWsiURXTZ2
al6VLXjSmNRElrO5cxR1zz4GnJ2sUPe7zltvG4j3g8wSb+g4M8DJ3jw+21nvMWtJg5bBQ8eudBsR
ComvooWKWfl0uwqs4m7ysvqKc7x+jcewfuo95WzZa9MY+B12S19W15Zv+48IH7yT3zjAP3XvQKiV
Bc6/iRIr7TAlrbw06V9Mr4MEwMyWAIFR7pvWnJGUDpn7OpsEUjsttvAOLvmFkTlUnUm62LK1rbZQ
S9MbJKYRX63/Vg9MQJYEppmhFRRJenCuw1xL5a76RWXEgo1lPfwc2PzL7MEs+JZwT5jgV/Pi0cqF
OlVZq1FOzJ37ybDpL0ZiL6JNkCHiIdxVsbO0zDoUWEzLNVdNeYsH5D4J0/wKFDhvVhLu4Iw2MSr/
b+e/y6D5n0iR/z/y9RjFLnSN/1pleaO/6M/xe9NM38NCvv2xbzNdkCABNHE0lQ4tlW2xI/g203U+
ODZFteOQs4CCeflf/jHTdcljl2CkJbNe/A02+kcKkyWP3RQflsQh5J+Mij0HrtG/o7T80bbiQR1h
OYESlG2jzarA/4nR4fCMJddFK9bTzms4wqMHfbiKIu2t84FOOFN6JEHPu6xL6/N3n9QvdiN/2VD8
9NJLTPN3CxkA4LB6Rau2gZ0tWZbABCEDousOPw0KINPvX00uV/L9KsaTgi35ImagkrSlXFY1371c
SuwOB1g57fo0s0+RIm0rQPe3AZhH3nlbvwgQHHu+abXNc+1zNvZgBGoB2A/DWo/tZmXP0VNaZDcT
UA0nHdeWJnK5EwBBCRblo6LGTKr0wrTKdvv7d2/+4u0HgYmlz7P5rfCD+mn0Lpui9dxeUadnYLk8
y0pb2kX0bKq3l5U5rIOBXeRmRvp4E+g0ubdD51qOikgCyfpVaPWSzYjSUl+8GnZ5GVv2HoUXz+ee
o7lIjh1bb7L6+P/KAjtR6WMPiAYf0F1cqrU/KUyEUnD2LSPeMGcCvEjN0Zh7sBEqAW4q2fZOfGc7
6SGahk9t5vAsi6FpAeYIe2a9SXbrxdldzejQVl8msoOAN64+0uPMe28i8Q5JhHdV4UhKV2adHYle
JD8If+y+bd184wDU3oyl9WQ3prWXQN4f3EzclgYJJ3nAK1skEHKUjdNbWnQewMIUQVncsQNNc9Kl
yAbwsKvgP7dNnVxPjTeQcTeog/AyFpgeShuHncPJJhfi0vfpOe0gbW8IZrMPc9FCO2gr/6MlJEPx
MqmuoT6XKA8WaTESyo+oz3DVDbH8VDtz/17rTpx68wJ894BJhS5vJXwIeUSMkM0BZf8EuxtlE4wI
uy/NHdOe+kuSpF+SqHKPAxqrNZyWYUcUFxUNroBqign8zslxiE/Kxg7ccxR7fDVOOzWHBdq+pqFH
n1WE6YbVn7pCW7MddfVADEt5+fsfpFwE2N/fTmyRUchBVuEniTpw2Ud9fzuBGjZVDWphq/McVmri
zFW5rhXEEpD/WCNdHl0PSSLHyznWxsc4ZFrKWluhFEwUambPehxlv54XNebAzPd9LP3p3iJndt86
Ybt2g1bcxWByn1ulNbqhUHz94xL+Z1/5N/tKyQb8t7vKG12mb59+PND++CN/Hmie+4FFOgcXjF8f
b73gwf7tQCPgDhl6ACQC7bsrAh7p3w40C+uAaXroBxiL/7m+/HaeyYBTkD01f5DlvOuKfysVD4fC
Tz9MzlOX01QG+B34x89RsVEUAecoZbnHAtUeGjPTb2UCsGYRM91YuQGfUIlpkxt2dVH2frxCuYC9
fPTTi0CULE8QxD6RLeF8AQ8OScP2jJ2HV2Ijh3SkwCvjLao50p4cJzwBrACVO85vrrZviJTZWFj2
oBgUF7RF9oa72CN8KdRou0FYTWg+kLM9ycr+EpLow8CmOGVtrfYShAPLRpGNO1Vz9tJJJMhaPeB8
TkKohMri/ITqtbzC9jRfI1koPmPuEmuX7MJPU8KGidcbrjnOjZ20mRYSjG1HT1LAiWqA2K3tSSeb
Jgizj06hGaPMvGoIsxuqAYKoL70AW4hWN3q2i3Y4GmVlbTx6yQ3h8Lc1NMW3bCK8PgXZjHbFH6+1
4fv7KnZGIi1bVMEkZI/6Js7JYieHBqNWNGgi61qm625JdFUM1P9xQq8aNSPlaGrhlIqZ+MiQXByj
8G7QWvePXSCid5UnzUviDvYtuCVcT2JBDfmMU0eQKUTqhMk9JBd5DOQEraFXNxi8TR4dyjmCsdEX
XREmDKf88mnAA4I6WpBBy66LETkp6oqJ64BhCa+kjwZUJRCMV2zs+nue9sUZt9x7aAN6mJOMaki7
6sVlzofKd6o/u3P4FV68P2+8YHyOZX1gRHnShPRgsDZZy/jsChOswDepNwQvtjvWl+ZU2xdW0VhH
ref8C2JvUDP4/XD5pTHEXlr1cznXyxFtB85nujO1r/2oOLYjQpksboZTIQhYGkhYOfAkL0iQ9wnl
KQ0gOpP3HjYYs16slFcWsJjv0elWp9xhUMheHWesTHVNFOEUQdklZAdkjVkUN5FbgRKL53YfGPP0
KOfcvC5zPCyRXalnCHLTOZ+wcEaiF5eTVORvoAJdM7ocNppIMUTQrgyuikE3FXb5uj0IfJ4bXRKq
kxvuVz3Y/rnTXrdVUpHk0uEUwJg+HjtOmTMpO4+RncCVz5xulySEpHOGeUswes9AlcGUGxtYS4FN
JmvHJSA2zFBxpg2aRjVPmNtKw1iPkwa4PwmFkLkSTFcTyshkwsjs0gdLtcBGUlFAL4MQNTb7woLB
6fkzWRB+iLE89cGiuitvGus9XT2ue4ViMlxPSGfXg6w+OTFAOTtPCGQamXtrkd0iVU7Q+7agdtBm
Atm2d665KMjDpMTpLPzXDJQ+yHNR9iTRquHOLetX2y0+leAwnLm9BJD2Oe1Z781h5h9qo7F3eCBC
Hj7L31g0PtASc2AfMd8NrX2HpRRJb950G4rM6T4KIF5bA1B61OCK8XDxxXKYOSaMeVGCgn7VrnGH
AVw/k96IRcXM5j0EC4HAGwl1BYX7gq1Cd6pay2bCUXvvnZ+FO7dyrSuUu9xMlNHbEHHcPfxDPtXR
BicwBeO67XvFAqyC3Dnn5dY3JzoFtOLjc1TgFrdgmhLwToVDIV6dRg8CrZf17b6v0okluDNCZ6aO
O7ZzNO9DHc6MRGaHLbXVrkiNZzMcTqRXN3zbU+bEa2cuA9aAcbfPAkW2T0hTXU+aqlU7vmB+bX2q
UxOPyZRV02XXkLtSsL0+iawKn9EhzqzYsvqyC4b+JNRYntiE+wfIt+WngTX4BZWaWPts9++4yQG3
4QWDeAMFJVmPcrAe3aTysK9Oeb1ll68pXOzYB/vJg28bJ761S3s0yNBMoi9jQHM+KLWtp2Rv5GxQ
+SAOiOe9DQeG89KXxq1uB/DcXDmZOTHQ1EWhjT2dCKn0pYnQNBeIDJZ0kW5XVam/CZs8mFapdBz0
ruyc2kBz/3foONvETPZd6Yib1su3mUCDj792bQAAXqW0agQhgIG3UChmFoFoc8WMNfDvy7kfL5Bu
MHNzSru7J34SyK0evhDYmR2GKjI3YdhfMYy+xTtrb6C1jrvZ75t10sLw68Bd7S0d1nvL4QnuEK2+
HkNLbXVBtYsW/zbuvceUBKaAAbHlrk32Ky+sgJHERmGROoeeNAfyzuxwLYhVIYSk2Xe45TGDheS4
UMHfCTfvL/jb17nfH8I+Ih2ap36ePCCxO0tiCysAzHgiomKLJpUtVM70JR7bmLW5SE8j9LAjPCaF
ccmynx1UCK+LXmmTKD8jciM5lF1Y30e50ewniELO2ux7EraKuKxfxpm5uXKn7torJkgqhte9Y6gy
Vvxyl2NwosnIihK7PEpsb26Du9ZNsJCNeusK/aLJDwjhteghnc9mEdHGxJJjlrjWELn7sAJrVIlN
mPJQHU1xMvAQokVoL3GqrQtKYbJFiJ6zU9AZOX2oibSpA5FYr4ysyDbk9BybYliNIzR8iYocM1n6
brZT4OzcEk8AQnfZ3FtslAjIe/dGa/gKnD48k/wEGAq/MJDiZsHKIRpwN+y/ureZY+g9nYW/qYn0
uiG0d1mi4CrneEv7+QHNSveQQRo1NsGUFZLpZaJup150m6nGPgk6Kd44XdEQfiIn8cSjJ92oOhz3
rSrb1SDZDgJbR2Lpsy5lPwcLy4zde4KGxmPhT3OxdxnGYpSP24ca2fXYKv/aZyRKdoJvPE2JN6/r
ihIlEvV7Xo/jQ114pAfSCe+0nXN6W1YR3GIUfRq9Hj5BD6mkjM/oXndoDgB/WPrF7JrHhvZtZZWZ
dctche1CwBiAYy+4KkNkNQg1cu8lddp8VVFWRE72OY3tPckKsEeTiw56zNANGveITaczQwwtuLOq
YhuRsJHjKahS4hZNtDDIA24mQ9xlIv7MgQbWof/SOvZejQNo5ihSuwhl3dpNa36702xy7lKFhfHW
KV1vk7rzdFW3toAtVdgbQlXVOXTiXY7FAQHX6BGLFtv6HAnCnLxaDaRoIVzfpI6wHnj8+pfT3GoM
+L3B2N4KCMM1qTrt+CyqLLkw2Mpukn6wDmoGSkgVN91XaT7v7H5wbkwUQk6RfgGFyHkz2hpApuiY
CesrlxiEkxGTLdM6bLYccN0bUVvBKZRJtzEtczxYRi/WVWO8pZgNDpPK80uUxhzRwE1AdeKZUi10
sWqOnct2CJnbI3o44YyTh7oaohNj0ovCGNWrTkfvqQ95/kngDUyLJwOsBObcuwYh63UQQi8Y0upt
2U2zPYbKSlx9iITOPWIpnNat6l4UVlfygOBXyg6MaEHQLCnz5A2bxrOTFP5LWQzGNlGx8VjazaZw
lw7emTA25nx076MRYhpLTPd2wC4JYqwUWBUwj5yg7MCxVdgLde8erKFz+VCL6DJEenHj+RxSEWnA
Vlfq5zru1KWT+M1rlVQLhF0tzhhXGTx40JszO253ZKU2Sw5lSMZEERJWGhg7xtGsllB67uteh4/l
FKtbEUl/o1jD3llNbZGaQRIXNdhwV8m8fG4i8pqtYlgYec50Jw3S/PqkywGdmt5eJW75NUAkvh+H
mgxYRQWNo8y+lKa9LBMgaLwlMokvnR7A9crE23hRiSm5j6IlONZwVfLUipwjA+nFRuowIiVFEJ1g
FeJsegycdB9ZkOja9hjOhckspYw+Entgki3sSebpQ/HFVjo4G37tPE2myR6lG1wEh7p9DVoV3WVY
ee6rYZSnARosR56Z9Hz02AvYIoKCM4n+a9vlcC3j2zYl06txYgq2tn3SMDKxaYzD2SPtZu0OqiQw
uWsvCuF42zkM34cStyxO3tjdlflE6TZa4Y45mP9qjg1Wu7Kw7obZbbdjZxLd3BInWOeuQwaZ43yk
ZVXbuYiC97oL5SagATzGEyFybpQk594EtevY8PUYKzKXtwLBqWEHOyQJeAJkcpMZAwTIiMrcTwIT
oY+JKF8G6VnC6izgma6grLar3uuKkz9njA9rGRw7xpiXztBkX7lQtQ2D2rvIvJihW94hnRvy6asT
zp+7ApGoD54S5QpCC7MZTTaTJlzKPuL5mZfhRRhH5z7LqBzN4ErWZJFhu+/XDOaS58RIpw27tVeC
SWeWBSnZuNBcC2cmvgTv4LqS7XCxNPkxIYfsGOs9+PsAAEcwbcMmDjZs2tMn4m4MCwEoENmYew5N
HTYjVxHQAXrfvLQpwdYQY8rHiAI+pJfrnyJ0ylDnxH06ReHODnf+EO5Z72SnsOhv0wF1XzTwcJko
yYXYGZE5LcoDtesi4EIgl1HXtZ/4eY4kABfpmbXcjGe2aQFVKiJtCYzcNzNDWBbZZU0aMT/UPCxW
XZO61zqPXxEZnSOen9tcSLHUBskOxgDx4rUBM96ewoOfFtgS7aS57es8QXHRqkPfEsyI7LQ4cFKk
J7PHJaPgFV9rgNCAPD21Lh1AgB5J7LyWiE7JqE0yfZiebVD6SQnnNiQ2eA7ks5QUT4vFlT35qs+r
PFpXNdwYCt9DTHSX7yPajPrhklmej9nCGPv71knL1yKU3DxWbIafmxC82yI3RDIsYjWKtejT26Ix
jbvRJoitODY2EBi/i0VHmen056rIynPapeZHTsDmXBs5bW7c8MZTQPVA80wEG6ZBCqU1h0/S1LBY
WTlzOclEf1qU43QsG1hJLgKCvVdHLgwAqJ5T5+qjM1XOnYXiea972XwmnxgflktK8CtBAx2+MMDF
bV1zM/Y8PPlogotQmdWx402C11tkBdCD1gn6RSbWjQ0NSwxPvU6K+04N9jnzZEV6SFmhMBPNtcV3
eithRu4JtuqeIjm813kqt3RCC3GpN68nk3+nxxBXqWX1zA2cxWaLP4kckUWwYfdwmsOYPI7JuDRS
gq+y3I52HoUFMT3KWIADJELIxGHGM6fctvBsvHs0WAZLcTlQcFfFFVLHLf50oA1IVNd1H7Gjnvrs
FDTkmpHT9jC62VtTD1ek2BuAHJMvxC+gjVDNVdE3mC0xNbG5HZ9bmh+fe9izTDhewfSxUqVxStI4
vv2/Mvf8b8T0txgeYvf5r9d090mWJT/w/L/9kW8rOv9DgCyZaaErEGP5HsPsPyeavv9BmMKViJpw
QS3//bd5pvQ/mPgg2MKRpOUsi71/Luik90F4Aa0+zhtmpMta74+4hOi9+rYVY7nJrvNf//l7jL75
44bOxdVh8a6kiYPIFj5Ylh8H7aEVi3IopTzYfWyc5oZMXYLQruxQ1shvkCHEaq43NjmJZJNE42My
ZNGpNOmdFUArqL5g6QsJXy2NWzo8Ov47dAXjsQIWdVV4ZHZ998l+u4Dv3/CPlqe/vt9lD/fdns0x
JrdL/AlpcZJDaLMXizpOl5VbhlSNiDWYB4krnJHh/vcvbP2xA/vXTuKvL/3TRpGJZ4FC0ZoOSQSH
ah679Iy33t/Naqy2qTaqDeZv6g8T2komneuxb0YOq6Ag3zBgM0ZTg+C2hI5O1bKqlmQnYDPXjJpZ
Q9V8eq41XudWGF2FHbLPxKsQfTSlOLRzclf36bbJk8csFQ6HDSm3BOTRx75kBMfPm0kRnl7FBc+w
rtD3PacE7A9SZLJ8TLZ5DbgXzVJ1hQs+uWrQP73GeqC6NuoK7mpOfhqIvl1Td1tRkpQeiyNrlz18
DAOKcsx4bjDFoz1U4xGdJ2GK5N6tQgRQu9TTn9MmaJFdV1K/1IkjcFfCLWdhA7M0grbbEBe/r2T6
6LjhtZ6GW5XWDaa0zZAbL3ZbBhddThj3lAbP7SxJNw5qbGS2QO/myst0jq6guFO8MMrZ+BPhqSSF
7q2hzle97711UJo3tBjIqoP0RJ2GmbSfrrFQOruWMLmtRri+NmKrO6EAGXeMhuQmzJNzhU99NzYC
8271gGn/FM4TE8kGuSX9E0QvZCLqhN3QWUWWUESV2iNJO0W7S2bgvQxR7K0cajDj4xLDOolqy4UB
1Erq7ug0rvg4RE20BbyPh8Uxu4nhUHI76MA6cdeQ+K4vwilg7etLppLx+IAmur8dC0D2Y2ELJux6
h3S6ZvRpPGAeBETRwFOA9gazrSLbJdDoM7EK5Jf0bSxugRIBMQsB1bhiT65neLTt2kcOW8VbxcwO
DijRdoFGYdjDTn2gITqpDOs4aYXrPi6Os9VYJGuSdJ10/JpHxzJ2Q41gB88EzXCGe4QYU8FYkOwz
AUzS9sqHblEbBdLZK854MJgP+CM3rYt9REJk2ziDDUk6I6XDQl2fKajZpYcYJZewlHNdU1CBGusD
54Cc3FsVdrh3nScyz5mlWxOkcqem50EovzFCw1+HecqOVtHweX66V3QpZinEBfg1brVhHDZjDo2j
qjuMplWd3UPxMDag2ulP7PtlSrjJ/BGh4xTjCdfp2fWhXU8xrUSHPgKanBiBaMu9MTR7R1K12W50
pyXzWcY9DGqzoyr8u8SnD1bT+NCNCdSWZN118blXJohnZ94w7N+OpIrkmH0UrBIP1nIc1/6jVFkC
gBeysNBvWQIfwI0awMH4S4ryoTWarRyDnYqLz8Istx0rgk3umT0Vbgsj0bLPKNrivQkqMknVbUIV
azTm9ehFpzQsJXNpKLyrEGXgLiLeadFZVe0nEw0In3sp7scWuAR77TvSO6JdmAyCe7sfP/fstEEu
NS5RE6MVvMU5nmbBZR3HuXX4qgJ7AvujQW6oOt8xw4rWebyoh2HjHJo6AUSVEfxa6zbaNKhQb/0Q
flzeE6aVCqUPOViak8VzkaJXPIIzwtOHM+RiEug+mwD05NwxCbMiQ+BkNRlt5h5j6aH0BOz2UcDs
1s2dCtGUD9qqD0lFFFQ4QAPP0ypm50XLiz5fXLoqhPc6nRppTVvHzR6mMu1OWQiPxc3sJ0067Lap
PQCKU2SSFoqQwpB1c5bK12vhMyvqbCiEskGgkGYIFBBEJ8doKYFToxF7g8Zs6wnmMkHVOi8FFZQX
zjzv8IQXs58eSpiVeO/d+dAMyMgMs/rqRYvrKen2EF7l2qBhOoAGfLWYzG/tJLz1EiIvzDg0dujy
MVT1cb8djNQ8Fjj0z/Rod39zjv24Wv/jGCOiinPfQQaCV/knpQpeuCHFY0Ev3YOxgdojDaQm2Pn8
xc9mNB5jHGVm991cd4esNJgSLXdX3NOAijRUF9iMkQu0FZurtLlFgxGAFW948pHEW54dbw7Byotk
k/Z5dEDjWx7kOLbbhonYpi3FqVHCP1Def2UqZawMZA/roilueR8GoLQcj+s/S7FfFAyLUuCnU/uH
y/1J2ZLaeY4OxTEP0D3Cu7YZrfVEu0FIGCP837/Uj5Kjb5+st9hC+SfQd8v//l1tYg6MdrBDmodE
e187D6Lx5NgfAWKUm8apX37/YtZSmf3lwr57tcWR/t2rEV5S9GOVyoOT9Dezdqxnq4j1MR2iL2ZC
16XcrLvRcR6fEJ3Oh84YIYhlwNN8N+quiD04pHyTqLC7fe6qcZe2ulsS9IC3jGhqkoSvkHQ/Esph
bG7kVJU3SBRhAWXk0OUjmcmS6dKqtYzLcTmo1XJk25zdv7/OX31/viOJtLJMBGTeT05z07BjE8Wi
eUC4TQhc4R4K4hg0stO/eSHzx9X+n1/f96/0UymcdWMZwzWzDn2knYMdBu/m3PYr2njCvzP3kysZ
so2ODf9qqRRqD6f976/1R4jAH++Aih8gh4fTmq92uXW/+0ozVNvC4Bw5uMphveKisyzgDVO6ucYN
zDdoL1oh9P79q/7qwn942Z9qaoKbeLhVTG4N21mYas4XLyN3fWjgpSaNME7lNJ6JSWxuIHFUW28A
jPR/8Bb4kgMkH8AM2Bf9eOXkdI4t4YLmwUrI32w5Egk/Jq7PBVLUOTTLtXvNWo56ExguT321+/0b
+MWtG3z/+j89JTTxWjDQI/vQ5fqj1SbjuStD61Qol5vYiP5G3rR0Cj/dulypcPiOTenwrz9ebTzA
h+tgJB8ciwwxc8hwGbSER//+mn5x5/zwKj9dU2shusidyl5c9JBsuEDmE/a2YyL9N1/fr15puRQh
MXA68i8PPnx+JYFK4jCHw7AafPM5d4Mj9+3fXNEvf6nfv9BPzzz6D92hDbS5O1ktJ0N3nUrP3gfa
D7FLaes+izqEytFSHqulUJZ1V1/9/mP9RctsC+Eh8fSFDAJ69x+/vTAeB3J0QuugvbQ+zGxhHmpp
m0dQeNahtsbHqg6yTdSzc076ifIND/naU7lYeYXxZkDfwbpjcDpQXZQXWVQ8u43FgiyRT0gQqr9p
mK2//thA/gBsxBm1vGPnp58BSJosLOaGtxZpfKYOwegxCezVnKPvMearMXDHLeoDqIYxdPUBIiZN
qLEDX0357pT5ti84Opq+PFKmhtuUhUOBsXHVGmyiaSK+1vUQHYUqKOHYCJtoZohw8WjPJp+ZlZF0
23quqK3qUDGNfMfHYa6mQRVr4fb2Zdu2f5Y4/yO9+zvpnSdtnt3/rI42b93b/3ovKS6n81vx/r//
4+4tfWu7+K38QX3355/6pr7zSZh0PVL+Fsiu9a9RlRt8sDl9pesI03btP4i+/xDfiQ+myZ3A01j+
MZLiF/gP9Z31gUoIRAi8EUFugeP8O8Mq3/2xdkWczKAKjt2CrvcsD7jwj7deJeqRZNWu3YnCLUjX
CUfMkjJnIICAAV0r2lBuIMB1rbsP0rRCgIUUFosmW27Q2QHhFvjh/QvZZ9ZusEaLliHIEvrBugE3
OTTQ42ZmCWqd6kLqy6AYd9zlFjH3imNvPzUWkrG+r+cthDuDZJnEDq90MzQg7jHVH+Hg181W6wLX
qzul2eucjHSlJpnA0dZntdigZCv6di3KMLrE0e9+wsOq8d4Gw37sA5+cHXO+UoZP5l89Z7TrWbWt
lc7uwKgrejVhvGHxwq4h8tD9RIpw+SLh6jWI+vSCrsX+HzM3aCNEd176nOMeU8zqJDLsevAyf+9x
O99jKdH7ZHIaeSlAqr7CbqeimafxlYkkbciAteWcoCgkTbc0U8IJym5GsC5lLDakJlvzxmW4wz1e
JAB7+wZMOrncVn3NhkAx+TZ18FpXJmGXovQRXCcV4PrtgOAfzqFNjprL4JPYSTNdcohjGOR2QDvV
tlbe8Zf2ZEsZXtATY9BPLQptGHrmkSO6wfLJAlTrDnWM7LqWC2CwDu1/bIqdglH8yeo04MXUrm8Q
ktlfYtMcHwPtMBvULHrK1QDn61Rnc0qQVD3gX82H+gkBdr7vZzCsaxIMPOAXk4ItJiisn2IddU9K
1VmEoTJIGH3OdnVnurgzt7yD8akfOuxUpEncZiYEuV04dcEhTrp2b2FSfUkJegLIKgmK8Uk91DxN
fSClz7qr+4YJ02DSgSWjYe6AxE2SMqxP35wWZTt9JlgJHqn1QoZDMMp3ZpLDjXJRPLSqh1YX+i7h
MmwxVY+aocVW200eSruAJudJE1Y4r0mjGV+xJ/iXJE784TBsQr3FgVvU/GAn5hBt5uLRNxucffuh
qBpkAwPikG2niijbiMro93Ya6EuEA3KRGvnMIVvW1oSwY2ov26JYB30x34Qp0Ny7MVLMjJgMH6DM
WDdmPHdkP4sYtH9bMr00Tb98LaUmidJjqsPiqnE/153wNiYZ8sYOoVh3SkLse2sxYiRqYOhsg7Jy
X4MoxbpRmImJVkwbUb1hjx0MpG1IBhOgLY6+xVx2hzpG70QlGOkMs2Gxbhy66M6eJRE8Kk6DFzEk
6jkVuf/J7X37wht60BnC4C9PhylbE336rDFJwta3WH1PnWm/eU6Czi2y0c8jphpy8tvHXF8rhqnT
JgP2c2p6m5yZOUdgsGOXrl+cKm4/xWnkEyzGMjvfNzwH0p3MZvJ68PNNjBZdwSuHorf0Ckgf8FRV
R4Ozxi+Mjy7Gn9OvRzeosZs6OkL+mVkkiqmElc80j7a5kbVs8Jr4YNFWQNO4zVnIMThDWZMxIuYH
+1bZRvKWGbURHmQQ518QJ5m7NIisy5I7HLGHaOPPjetWZ8+rnf0oCMuMA00hJUPL/tzoIr32J9I3
LsbZTZpzxE70ozGTZJ2WNlAMUQUYitPokV9UumZ7x6+yJF96x2EyvTI2zM8q8sWwBuZoeytmjnLP
QLTEz+D1TI8B83pRq9YTQgXi3MjR3ejU1OzZO7N3L6Pcne952DjkMAR++Oanhn+WET8I9AyqIdO2
zl6SyUIH7Xe+BxUoL4xnJUZ9xpAqEIsiRIUNQl4dzssFEsP9fSlo6750lgpQgahEir2PYch/skeD
SCYtCmafKLwnb2+XDbcZY0ygI10J+/aqwQJ88MLKIfXbzM2NiUGTNBXuFLttu3LbMpW6IDn3Y9SZ
xcHKEzbxstZv+ajrez309lq2OJWd0THusZmT9jbYCnTtgC0TwEPAOJ5RVf8GXpXAXKrK8gbpKtyW
HqQd0tzOwfys5hcyexHfmtXgb00oP8ziws5O7oVd/Cd1Z7Idt5V22VfJVXNoARfNBSY1iEC0DDLY
iaQ4wSJFCn1/0T59bdD2b0mZdtZfucrl0siZohgtcL/mnH1Gm58N4gdkMbO+6iI321Ihmod0FHkC
AnZmUSoG3XhDcCfPYHbNZ/yt+bUgeGJrEmz/kIWjG1/nbBO4oYiQnbppD8VzkuXjHhwyU5RuqOI3
3MTROoqb0t1oM5Tsdd9ng7wPta7/BnhKwA/P8/rZbizZgFAhHBY8EZnjoCxLtSYJ0kbMWsp8k/U1
gEqbkrFGxxpcd00/6xvK7LD3XYWxeWVphvPYOo7FwY0ZXJ/Z3kN9IojKC4a71JPjhdBYZIVdH92X
eReBkCHBpgITj7FFdV/aCW3QKsxLLVqR9Yc+ZbkOtWXuVSBQacyzqp3bLpOjbzr1YxkuuJ0QXVKU
QDcsYzu4IMCZTI6xtd7GKNEPYeQR7WZX9Vr11USCavycUo4xJ5Xv9hi/QtXRdkaclb4KwhzVJNrK
hFjs0XpUKcqATVlxJ2bG3bIQQLY/mAdgDogS0WYl1WGwAkRotka+x9okxZU1TDaZkFsh7s6sLlz2
S2PkvpVlXUYrYSjjgTGzNq8qBo72fkgzd7yCblq8BbD5Aaf2lDpWlOVq0RwQ0KsStM4kJkGATrSN
6PFPMzAivHgkAFtyQbQ+juLkUKpM30RJIm8ZpGVbuyfFOOi99CtcVvHNZcb3JXPNFrPo1L5qtVmu
0cBYsT8Q00T8LbyZK4kEmHHzUBjIXbM5WekNM5XTlJSa9tli51Az0e3jcu1CwC18UceEb9YuzP1N
zhcGYkcFNHUTMss1NvCJxkMVa+ZVbSwA32zEm7wpjc4EHIoY4uDNZvvuLra53MkGvjtulR3yvPXI
B/L0Xm7NUXfP85wBOJiLxrsc5so76UqAr1SE275C4TCPdtNoJMZAQX6tBIHLK+WV0zMGLZX4k6Xg
Z2NTmLlbgDyWO7b+bKmUDnWW1KZs3uWTjecr5V2+NBpXmKsuNaXDjN05pjlgfNib6DBKR7QPFFEk
E6SeIb629dQ8daWKjlluu5FfCHgmKw6l8SrEusZJgnFEA9lrB/TzppGcO2kQfGY6tvIrkphm30hV
Qxo42Z/soQwX4DQ3u+0wNMvph5Ik41jVeTxiLeZLm1m7WI+4bvycMJybwZvLBxNzpQQgGpcHV5Oo
F4e6Y7qNHPqmT4jK8t1QNNOmi/mVJ4TMU3xuDBaXY9I2GE9ES/3iePWNqCB/BW0D8CAQDmPjkGE9
8qFO8D3pbWilKbsdfdu3id8g1PHJUIqHlUZhemOH9nDRBbw9IHkM4FLcxu2HdKAq5pYRTRXWC0KU
N25kufljaCflOzZGEd+mMGf5kWGpjpKomivk4IyVKRSC26kfyShwq6rVV7CiSBam40Dvm+axhBFX
J2iAuEFPCiltpB7SwDJQZnNGn7tyCi6Kru83XALNe97Zxi0MgKj1jcrLbiJYbyx4dO9B9KO9E2Aa
3juz1z9PmjtcMDbRvkx6oKEdrpP5ZiiTDuCHQblg1UqwPXDbZAc0eWLtkevuQS/C6bGMJ+DkHWfM
I8v7SvlWamU5NwE9SXclwtGAohkSHzg3YMVUyjoCZR2BODwkqLXNHmEsaCPZ440r+8g8xK1wsm2t
o9BCO8PptoIgUE87VABhfJyVk17YnYUVs7OMtmHLlNUacJHM+9Yjfv3aQqqpMe52hdi09FLY9yfS
u2Cdj42x0wkL0Ii4bSLrSKoJEQ2mllTJ1p6HgYRipDWe9lI2LdSpRGRuCSwvI8CD5QkBPjj1aHd8
3GClC49hMNxbmxRe/CN80yoL4I5hs04Ouhe7GFftFDrJdlAaGtwxk5tQWPA9xsJySPB2YDx3M8z0
U+QoAqA70+rNq7kKKVjNkpU4co97nfNmZjM0BTcpZI4M0oOxpCYuScPilEHzCSB2DeBHcjeEiaKb
RPOtzbzv6VQy0l3QaxdRXdeX0VxSHlVl3OHhMqrcuiJvtwiOttH20dkdZOecnTgIhn3CqN0fe7u4
IQijJiDMpia5n5gvzzsPxIK5bclsjQ9o3+PkCRlmk+9J38CPUqXu1D7n86S/eHGSOqtq6uzgOXXC
IkAdFxqSIkmhHOBzH8jQACXcUmY2Yx2vDTHFLLbCSejPptMD8m1UM3TrOqjYg8f25J04vuthn7pG
d7SmHHCHsJd5uy7SnYLZjcknwOMfFSrPD1PsJPqWdQ/IhoJ8++SytOQg14gzS7VRqWi3tRb1mq9C
ECQTIQPBEdjgCMY+cTm7vCIgBhSq0lSLVayEjp+tdPJ0o2lO1n4ZU8rtqh6n/BLsFVZYrSbSBdY2
gOHqWOjF5O0D11sYv3YuowcOKac9WKMqKHP0YTghQHah2cdx2+efI2eykleDa7i8CTtF3KBTgTVD
6wrLX2+d/pr4Ne9LQnFnrYgFrKTf8nIgizXxNO+NEAkxschIWTdwQqWFoFWqrRQNRIXZbbQL4OZf
GDMi/2P5G15HacWZyGwSQOaIspGUCvAM4W3S13rnA+Zo+fJ4IMFXs9knOyhShKfFQVdfCOj1Kd8o
LfjG2lcT5LmCjcEwPBD5o7Jo+jqFjWmimjDQw2LyaoFj9N1dZ9TOunNCk/PfxjzXk5VsrQYru+3C
lntT4bXpBfucQlC1YI31A3dCSBZqYf+KPIQlLtZJfSG/NflikaGv2cct+D/8OFP40IZmyOfhLuLd
LA5RvTlmJi5xMgKF4F+Ty4uvDqBPnZRegb49Go016sQlaaOQbzW3/ngzsr/+3OJ04vJC+fGSa05x
0Fp4Qxnwo5OsMlhvKp8NIs9Cu8n8ObfNs52F5i2mBmsXV0kOimfS51fT4O1wBqeBBT2qe955b295
oc6/J/UMidLcHiq9GF9CVtwPgFHU41SHKtkZiSGOPRumQ0cAEzZM18i+hLA+KsLxcldfy9LQc3/o
7Ur3izrRsiuv63CVzSay1K3GC3uow9S7cFHR56sxxeKAhz0YaoSqir1mEzi1D0QMjNYcJ3rvD8yk
uWPXnvPLEPwvm24uD/S1BJYI1kn9PUAYhs7KVHhM8/94dnnfxFXXsPz9ZaB5eFtYFb/9s1+Gl574
BLXCwbviLplj300vPeOTYetI8ByXv0drx8blN6md9cm2HYfVE//EZQfPX/02vRQI9zwdD7q5eOt0
/b8ltbOcHze2kusIYxM6bYztgvJH/2lxUBWppqFY69heoKjoCA1faXjG8h4ku+GNT67jhauegCA8
9ylYqlK9j0I8Jq77xDhdvw3qpTmqhzeFd2WVIvTaqNHpfE1D9j6qurgDKNFeyD4krhVUsg+FCQR+
ndw4qH/9gfiwPdG1JDeG1ZWsoKu18RRtUNY+EWIAYrKbbksSpPOKbcRUoD4JScQovIQbX6rh3TCv
ONcB9JRa/RyVOIxspx/3CsY4ZE8z4FHD/jlusz3AuVOTJcu9a+C+QlLJNZRJD8uEDe6znvDqmUmB
lYgUQpVY87HSKsK7OBvAvEkLJ5KeTQ+BF97rcfoyRM1TqsMmXvVUbJeatOwN+TDBotlp1lE3EWEu
rO42n7inNql1qhxjRJMCNnoOphJvqUcdXxsx3jFJABTwHdvovjGivFoqiY3RmPKGobe+Zs4CVhPU
19Ta+RrtQ3EpubOtMbcEDGpDok5JOT1Grah87BboWAZPHkC+V0c9C51X5UzPDXd+KgUAitXAoFd4
Gf/FZPS1czztMnAIPvMGEp9jNSQ+JZB1OQOI29p5+Z4QPLMjc1ueGz3xtkNoUrtz51oxYnHhE0lr
k0ZFB/2SsUeNrevWJewV+0VMThZs4SHr0ieznJ7odyLGCRQp7RIOmrf6CbBtx96JRI6ZSeyaaLRv
ceGme1l6z94SM+r0/PissimCCIiztiePtFyCSfmpbK9XTXQRy+w+Jr1ULjGmLvrPVR6O8X0boI5H
QE3ALbMd0reIQEX05q4NcivWc+qZmyEmKlVV1mdpJsFGhhrQ56R+5PvqvY9LxCqJbfkVbCYMMwrA
bl+1pE8H9xHJrE455gxi24dkCW3tdeJb2yXIddSsL1kx6vtEtbeGTdhrqmg0nMRstzkd1IO+dPC2
496SkHU/Qy/GDM13lusduZtF+E9PebLyet3bIVAJg8vEFDVGXtRIhyKIF7/v1FTXi896Y9iaBuw5
zc7kr2Wb0goHYr2NCmtr15yhS/ZHZDLxPlzyB7Io4nbmteAlq8sO0QyBNRl+EMK7kls8Ju5OVPig
UKQ8GGE73uVeHh4HNsbQmOAqKcv5bOiJ2KVxnz9kCV07HxWyIHvC/0wQ9LjyOi34gl99SUIR9YlR
c3icp4FtddBLi2qbyb7fBc07E4bCJ4KJY3Mk7tnJrfGGcTT+itFKNyN6qrVqHZoE1zzrTdD6FDpI
4L0BqaKBVH2q3O6sJ3MOTMXBFkL9FasZ8/Qgyz2xGWSXVbNxw4CFoR0BykvoKlh13UNZ1AZyDeQt
8lM1uCSlVG68F9GyUcyznG5L0x1cL1r3OLWe87mDCrSv3Sl4JLICRzzbCyYNerKLLRkdEllPFzUz
2M9eXJH4UDJZZnAyi9uM+J8rDFQ03F6WPIIDeGTUjM3VmVZhi/qqasfrSvXiva+M/jYenMHX4hZP
I5kvrGhH0L0kuSz0y+qVMObhvWfEepaVORwR3A177GEMmcA3rzUJS9CY4R5aWXWlNe5FoOUCksFK
hbpHbZsj2IDVtsQTMfGGuQY70kz8fIkOq/pIXtC/JdfDHFSnwFDJOdLhczGmPjFs7Xe5pepHtIFk
SZZ5c6XqqcO7xQqGaDfGIAwj130yJ597j6eRDdN8G0TzzWiTIidcjJDlNMSHKuluOIe0A7CCeov4
IHyFBkAxm2n34QjmdTbpoEpRqHOZurbvujNcicLtmDTEbKSilAxBq7yxoXoSDmgBlzAImLalXIKg
3cDHWDjB0bM9A8al1vlKq20aCTff6U3anEZNQSfLETcHeQYdSJrchWP73TBw7XgOOc2W5+Ejcb7G
wp2YBg6EpXmgbkZMf5u0JzYbNdq8wZ/G7SVIKcaL4EG3Sk7F5Tmw7TM3IeLHNV4h8ej2XM0ZmgRG
Q7N3maaRSNYsu6yW0UI4vGoh02vm1ENzLyr3G96ahSrA3dcgwDsyNsCwzr1J4tjISlDzE6ANt2Jg
ewBsQWP2ltziPqoupe4kDxUieoADNsuIOXpg3bejPs98RpJNwSrd+4IGgmQ1r3orR75QTpvd93Uq
18k4DX6R6VdzP4OOrEG/V07yuVWNOHSa5q2b5ZMm/inYmuRBwpvl1qO84q0Q8ysxvM+9BOu50tA5
bjIGXBvZslEDUBgfxyC8jqMasKAegjE3xQ3OQuaHQU/oStELivSW1maGYmol0ty3fdrcU9TDpm/D
GueiYkA9li+6xl2INowQqACnv/06FWJPW/SWd4WNBMco1rFpv30UcH9ZJft9Ifs//z8ylBDMgagb
u8Wf1buflXppXlKW9byr39W8v//bX90lBit2tCj8xgVvY9hIm37l5UjydE1UOT+7S0yDdF4ELEuN
bICqXyA2v5W87if+gkKTyos6FQvKf2dh78ifSl7LYO9vMJrRHWkR0qYvyqHvFG1RwGLdNh2xCxOb
hb3MSLJY6xSQOy+Q9ksL4vjGQFS2Yruqr8N0Lsa1nk6O2Jo4LbeDLYcTi8SYeoXFO8kG9TqqPnes
9IseY6GUZNZFTp0dpKr6V5D26qAnMWTqRIUQIjyWVDjgXHs+aFPupmtXxtTRmUEwuqrnszBZW2e1
pfZJ0fEssHVHq8Tpxo2eDnutqJr3sOmZCcu0Q/Sbx56fwVG70lUXn0JiPzeTAMtD0h6BDYLLE79m
vGlV4l6gPOdEiOZmXRswGaPE9N4SQJP4iutJ3xptYO3KqdPv5BzH57Ry4Hoy8PBz+MByZSkYmORx
C19HJbQVsyzE2syw5qwiQUo7MjoGoiFW/tytLSzs/ZQO68jqOXHszr0ZsiT04U6U16w3q1c9z+or
2DAna3aeoeBczgTisgfK9vOUnfpeXsCOvok0SOm21V3LIsV+XzX+aDHvAEW8A+3WkEyajJyrDGoy
Jgg5NGR3REEapYFzr2zpcKyw+9R9w4pv0IZeNOnCNXExmweFjQrBJYdqG+UTEfSKIXa/Kgj5eNFM
bbqcmiZ4BqhmEw/pVtfQNoGvYAZxcGbgwmiSqSUbXNMvxyiintaVCZTYVSlGDc9ID04+SiyUtdxn
rH8+9yZMRAwjdkqrPveY86Fr69LVDqWota+tqQLaL+Ju4BGQ6dsVg3wcMkdcsJQeqGkjc82d3MaJ
CoHpDVZQs9H5Vu69qGRKXNpRsdNLu3juOXcgn4ALyajXXpuq/KJYlH7xPPYBMi/S2zy1+msObtJ1
4wFsM3D6UxHX8pRk7DRqwyH6qh1PQTmGp14HIN3Uprb39IHItpBdu9SWGQsclhIMbco32ibRl0jT
7sotovQyG/HPAI4Q4xpmk4FDvyknzCaJfFBSRGLdekN0gIs73Y0xOxPCQ41rge+C9BK76l9M2x1Y
jrFoN2cG0Cj21fOQB8MpYHC0X9Kn7lvdZV/mDuVwZp7bPGcOvvJ1mswsbPtRs+sr0DKYZYMh1xb0
HUEdgBe1TWoOdKvB4FZ7DVH0DjcpD1PYznDdO07+wMSW4I1W46Oo05FDrQ2R8pGfa5YXMymFa5Py
/CgTziMtZlnD7YKoVFwT8RVgI2/lzlZ2PahZnXpa7evR6N1xBdFyumOBYRytVOFJsrCAAgIW4Zmd
eIRgxEjEtm8IhYhHqTewTKV2QZFRdwsVpzR40CI5C0qky6Cf0+uWSelGBWOxUZmR+QbamL1k3Fnv
lDZUN8CrgzPZV9UpyoEj95UagxVjNXPr2mzWV5Q78UkkYNxlOTknI2rHC7I2op1uCnVCYjNcRpTC
z3hcCPhRQdmbazF9rgKLnhOabXCPl0xg4ZjJMSSEmPzourmzi2r0Y6h+fkzSw07GBtfWNOQpQv1s
uHE7Y7yZbHuAiF0iDcBVKn1uqRuauj3G6IaWr49OqR2AU07t/qjgul4bjpdfx7a0H2rNGR6YhpTv
g1mF8FPGUuyD2dXu5NSJc98K+wG2AIG/RjUkF3SxmJmUTGCse3ylC5Pc0pScndJAVmOXBAoTq9w8
xHh1+VKkHQQnmc0bfKjONiHvfSeSNNoiQRhwcoQtSLQGvZHWivDOknmwBaRFYAcq+ulQpoV5CnMw
NxN+253rKTbfBDf7IfO9Q9J03lOBgWFbt6K7rb0muOZ/BodKDfIpHox8RwJMtIVjVF8Jp+2ueodk
oUmqfovyLH8WXUwv7MKv6hyI0GLUYlaaqeDb7qjN4qd1qOylODRpX2+MOs+ttZ2l0TGdsu5Y9Va9
TP2IGZqN/JohNuFMafxVNKMLpKw9gq9f2M1qSybAc2ViG1xPnbzFIrcOc7zPbiTDe2gF/XvR6oOP
KHTcMaovMoYWgpQWB6TJIm6IsFo01jAA/TUhbqrGrE6V1NR6XpKvmq7EnrOshgPoKHs7iRHMxPbK
Mp+aqTnaZFNfGmW/z0OXkD+iTEatafbcqjfA14p1nuT1HhR7s1GN0awNspfI/WiwaDOEsM3smJqK
3RmfCYFaSVew/45guKbIsQ4RLT2vBcr8poFAvoqa5llHybfvuxL/uovgrgLHYw93DQQwv7PEvIFB
aUNMyftbHDF2Ds+g9PZU3BOLF4wK8LyJqaYInzW+N3nXXust51nVwRQKPFG90jDmx7Hi7UHaat/n
CDf4xlbWZdRWRDqWQeUbbTFdGIPYKXOe90ys5l0xiOzJGIO3lEMry4OXaJQtaEsQG24B4x2mkbJA
VtukMXkGKVujpZm3rZ2yIUlK/c6a+hbgBinF50gWE4Hqro0/yia/x3eK0WD+ADSPqC3t2xg0zpF8
mOaB66M+Sbfq9iaxExwzXfmGj77fu6KSRxQi80sT2Slu++I6SA2ADBmRq2GfB3d8ADnvqUBIVKeN
++KKSW2sto6ujHAEx4kswGeQYOwqfS6vM7PQT20c58Rt6P2mj8IK977W99V2ELim2MSOOjcn3fuW
ayY5IvQg2wHjOIAys6E3Ct0h3iDSAnXgkANzKKxCu5UwFuJNNFr9vhjHTgeUUzhoMNHh3FJfxMVl
BiSdRJqc8ceK28A6OuigrGGtAMUbzt44NkcCqrIbdvjxe84dZ1oxhiH0dcQ62JpO/NnMczJ0KXfp
hsgIamWfbUcBjZr/TfeSB1G8NZF8r7Qy1jeMWuN1zXp8T1QPmhk5VLftMJw1tuQFLHAesD2weyr9
ju4OmsWYrhSlxXoZU62bdhjfBuSZ34ZKvLWx3TzLrH9xKtaoDInC8syK09l3c6f2s4zjNdDC4SRJ
h6VY1fuL2RKNXwY05bKNkPBkHE+t3plHs3bvxTzkFy0clo1AIwBtq2j9qJXk+RKL5duZXWwjYDoX
5EsMZwXlexeUg3an0lztBttw1pYoHNA4U/DG1szcco2G5NHMJh9Dl9/HYOEvY2LsrglTBog092qr
JbnBLjZz7kJJZjF5YQj7EjGT+G4ptDWspMPjpMklyEEtSEpZv6LsJMlFq4JrFAjdRh9KAuu5RWHv
SmzQF3G61rKAfrvWQkyzhJOuBxfvd4TWHeA5+UL4TnutBEcyyE0U6NE2UUTsUV0N2iEnpIdsn6Zn
wjpiQxgd4y5Q3uLB05n/aSLY25OV7tJpMB4UNtxVJRANpk4/HOIsKK8lNBJj1TmEugJp0uInO27U
vh7S6lY3TZapIg7PVozR2JWz9cBBBxXTgUPlw+QUG2tw02Ns5LjNcFRza6mKb26RupdOa2ef+7SA
EMXicFOznNjP5OxiNJys7ZL+dSgYFrFvDzyOmonumWrA9GNWS6dWVzdowbbUqfoJZnyyYbb3qAWl
D0cCG+ikfSn6AUFGWNqfTbRSK8dd5MElTUvlyBbdhz4eK5tsbRgb4MtGKx42XYseyuly3LZ8MUhm
yxXmVjb1zj08JtufQhXwCka5YkgXHL/rLP+FR05YPzqPEFb/1Kf9ZF0DOjcngx4Tx8rOe6WZdupr
vSeP6ELirUBb4TNC0T7XnhjvXZCWT5PbV2cRzeGFC7/xC27SZAOOxWVMaItwx1C+usdMOm91W6sZ
DqfA4NBfXxd9IyIu2ligyuETYOZuUUpowJ6eLAbkmA+zol8HQhUwihh4W0V64bqx9hVlN4E/2lie
tSRr90yQHrq6ZQilKnsT1J6BDrqTF8qw1Zq1bumTtMdFm9r2FaZOBma22ZCkXLvzoYmkfKZSD/H4
9sCgk+Gl7O3rTnV3FhUKyD+WH9DTJ9+eo+mm74pTEKfzKe6Z5pCfwFwU7QaefvQfoH+ysUGTskRo
vQlVMwPVPqKup5yicNNjAn2cRZ4Jv4pdkP9N5PQnMnCmQ1RT7TI6FM5NWbb9uUUXhQ2U28HlFKXi
3e70+K0K5t6vLE1uGKmL23JOJ29FINhqDhxT35RT71xYqtP2NvlMfguPj1h1/Mkzex19fO/b8amN
8PYXnR1vrSZHvjXW2baHG7RyKpucZKRHl8Fgu2Do8kahjrRxviLxJFEIxsl5BjG4LaJCHAHQOdfk
BwZwcojMuOVC9w6jNw4HtGv9YdapsOFJtt/AU1EK5sMw3iOiIBUABSLub7cugM+6pMmdyL5Kzv1H
yZ19lN9iqcQ5hSnKk4pgON5IsdXp5VnUD1F0NpdK3vwo6t2lvjc+Kn22JCP3B+r/QXPVyVt6Apip
Hstq+oQu6wXDL5CK5zYZjG1Veu19vjQYzUev4VCZcTNaWhDzoxtBLp0/5EuLkn90K8HSuAwNeWO5
MxAsFeHX35hdjU810tqV99HyuB/tjyGbotpDCBrXbuMYx7GxvQ25SQkfeMoX10urZB3icnypCl2s
MD0DLABnem2NTbKb0HfM3MTot0iouKsaywEhXN1qIo6BePKGmZAabvPOsFAGUylrUzvCDqQUhtJR
1BfAOxA1ov90WBh11ToiDyQkEUd56yjUjUdCmWyW3qZ57SFJeaj5DKaVvrSM6dI8ph99ZJo06WWU
KiYFNJlWkSTr4aPzdD66UG9pSCvDTHf10qR2S7vaoYI/1XSw1dLKxktTmy/tLU9yaXRpeZul+c2W
NthZGmJ3aY1tLXS/FFb9ZWyT9BXJD+KNpZWel6a6WNpr96PTnpemO1rab29pxIl2pyfPlvYccwY+
jKVlV0vzPi5tvPro6JuluS+WNn9eGn5YeFCOFH+LwDRfdR+TgXQZEmB5lnt7GRwI1Xn+n99RjcUz
+bvF77cbKrWhWKY20sYT8/3gy2vacLLGyd0Rh3g3P5lP9Yv2VN8OV+0NS7nijMDgzx/xJzzJxyPC
iSZO27I8rnz50yMOzAty2CjBrnfc4DUrURutCUKZrtIRYMWawrACq1Er0JksqV4Ne8aXZQVwwAwb
zDJiiWBboH6HSSQpEOGbmRxJoqykvpvtQHtsVeXc4x3izg1dYDDWqUUwHJof+PBjXdYnM2/So1PM
44GDmcuN6cDKke5tR0burqeaonfOk21mGTWRCEN94YJLeCaFPTigzM0OfW27O4ioGoyAoTl1qkhv
orwPL8Sizrroqe/uIs+ZX6wBFZSPq2HwkzFuHthML5djLrLHf/Om/pPhyBJwxg1nYfSwtnd/Ms+1
nmfS6y1cPeVaxyKND0qQTG5PmrcRgnZLeKZ9rVtKM1jhI6S0487e9UIaX1o3isCwljJ8m/puOOaZ
NV1ortFeuwxln6jv0FmC2+xiMASd7s0kcZnDbZMrpv+wlFMuzQTn0SSndM+utaWjA64lfSfU5LF1
w6LcIPS3jqYniD9wsba8NHOHkDZXToQPYTmP0o+jiUU8x9T8cWRZH8dXtJxk3nKmfbxhf9lI/+8q
TjEXAtMfi1P8l7fm5R+M6v9x9RK+NP/Yv/TvWfzD3H7Rqnz8ll/G9tL8JEw2uoaBnoxO67vcFlQn
yzXMT7OKZv/ETP03rYqOwAU3HWKKnzH3+idmRo5ODIwgLlyHFvATBerPqFA/uqGRT3jM66WDuZVn
wpTvJ5tdkihAIEEWbIaK3RkxF44VMbEWPufE7rv36V+UnsbPlSf0KcfD8cMD8rXnrfjxRhnyTS8r
0AxASsttL3uo7vW+TeW2KG3E6fWXXLfXanj0aILkfAZlrK8j8yljTybi8WIk5JeV7/7fPKsfHc3L
J8KzMgWWR8RBHhf+j88qqOLSc/I62FSIzlVaH1hc4CUScksk6mYGpiO1fO00DiGmxcrDpDAxK8Yu
AMdQ0bxVN3/+hMTHe/79gcIzQiNOMo/JBsizl+XR9wdKHslKA18fbNq5i5iZWYewsK1bBmjBmaE4
vCBby84VqcN0FM58jEt8JeS2oI1Je+swR8WzRrI3zbeRXZiI08iaZlssC+7TXcMGeHiW49cM1VCv
YCyWxaUDZwZnOibF1QS1CpchMwNtY7Y6Mx9v1VJd1+UMOtTmvLUvdbTCHnrfyir8JLMuvbTbdlF8
dLRbaOe3c8CWOrRQxBF+7pIpgyISGNKKaugYOsGuI7ajdcQeG+Wqbp6mXDtQ5aILftWKC0fSlWCP
OFaIK4S1Tz3Qff1j36UVBQZ0nGqUB0s9BEN3cLFcZ1D/TaDmectkWoU3M5JkmVxl7IpnfV4znSXa
Do1upNDns9gJstPEWCrviWc0JSQWc++kcHi7XOEpdMH5QuzinPeFgxgIU0ZnNZc999TWxOYy+K7F
Y2YD+pp+a2J+a+1HzpJjkttrdikHgyCfLusojvsthJM1QN8944d1mLW8PTwMQWkAd2/Lxr7h8wQ2
Y+47BY9nHnpSSZlrJ41v1K+RPDO7PDEPQeDqrgdmYrruHStiedPe3ehJvtbiu3Qo91pzNVVy63jR
CymhG8t6ZRz53LZfiwbDjbsk1HvnFr6EN13HTbF3sZnlrtzG+bgOA0ajumdXd7Ei8VXm2iUiSsuX
XXrWqoT9OCPhJVsdnYIKvOsgt8qvoYmodlXBx1rnPVaN1Vhk7+0EU1XMYfnimTEqCdNeLppg2b4H
0UEO1p00OvHZSUVPBRAiiSfAlRrNC3fDIL1s5WTIOHOS4SH2mAF7jwLpiUhZMK0Cu8vv2Jl3WxTA
0lcNPr9VMYwTprfKGV+QaGd73IYdQiESXy+jvopPZoewtGmdm2bu5a0S+a8cib/s/Pu/vdL+9YUs
zvDNhzH8pntvptv3tssWLSgPDzdw+dvrMi7Uffl/9kN//ot+3Wb/GzP7UtDqnGgexyT/Ibjuvrtl
/tdT/Hj+f/Ybsxf8790b7nfT5GDVSSUi3uqXP//jH1lZhL/+tWRdTnqMZXGGfvz55cT/7h37o/fk
z1/uL2/un//MDy/ga9kVavlQQu7RP9QQS5fxQxHy8Yz++S346Tf8/hYIFLLE1ngklf342r1Pi6UH
58MvL32RpvJAf/1rf3nLY/ZWSF/ir+qH1/6r7uE//RII4xM6CZcTlCN2+cMr/e5L4ArUFAZrQp1O
4O/1DkiqJOOf+A5/8A346X38/RtgiE9UiRSJOv3hdy8c7bSLVsSBEvJfF8ff6/Vz6XLCmnRg/zuX
wB++AYJYRNPm5sKv+hd3AZTitOsIX3TK348/f7fvAQqf//Q9MOxPxELaoJZ+/7C/+y5I75Pn8BbZ
v90o/1/dCX/6EL9TQX18F6xf7lI/HVr/fDv86df8fjEI/RP9/fIHcf/y58ebgVyuieX/df+Ob4DO
VIK7+H92MXDmkfTperbxv5g7l962jSAA/xWhhx4J8SE+UDRAUwNNkxj1IUDOG5GwmEhyQEoo3F/f
bzlLmStRhuPJYXlLbM8uh/N+Du9vpd6EEKo8GrxWtLA8OIqBCQWnFrQckaRRTk0QJXFOKvj6sURo
5MgM5KMgAuEZFiIS4ghaYsgxDpgnTQGb+9w+McANKEZEhkNRcEzhFuOqOCKOI0Z1xzkr/oQjzkRC
FaEciOk6GzFAQ0lE4wstxauiMV1SCErskpaoWTywQbhckq5YMYrJPsExBLyaE9XREgNSFtFo+8Um
crEoo4wZn8nSzYUPyE4m2CuWq0IrriKi+HaRplV+PD4LIAvRBxS1V8GZyLCtjS/qvnkW2X2bSeYs
g7O3L1CJYAfchCoFxU7OiKOq8MAKApoVKaGhqHyGCvCWqesmwbNi66N9gjMNCpbKkrZRogFTGc+Y
XelscJDHlwRZxPYEIsRU0w+PiJyABIJFA8pMiQYCB3llW2evcEWMHYnLBEkIGoKjhphSZrmUQjBW
EXsy4irjI0+1AXYTaRfiRs6LCO/ls2WqZQSaRgjFrfA55g2jwuazktjmtIYnPCSgscRKeT0FxDiM
DCcu6LQ9JwHaeRJcBCcsw1ONq7RS24QpXlBRrRgBKlyO1zXlg5X1FocmpFCFQFGpXWYcBOofiIyc
24RogiwBPi1TofmGJHS1355QyYqAPHNhnYT3v32ZEUkp8R6XlbB/cEiI7afRakEYgBQssbP5eBHD
c0um4Ka0dg1PcB5yRvZDqwVjJgETPCcz7j617x5YA5mV6eTOnYwIjhIw15ZadsA9LrMEayeBpnwZ
iA4o4QLnFwdHAi6MrmYF3KSUJdjk5tx39vBQpVGJD0lPlsODBOgCsovBg505o+UGAofU2hE+Pcuo
DfmUnAHxlOSFKQscIagRkEfY/dQpzRsFFYqBpQ4F0SJ5hPACIgQbzNOKgyQnd5ylBMvca2L/TaUC
3GCNJrJrQgzByUSKimK51OuNY1gBC4A5S4UvE8siqhgcXzH6KNS3J/GtFoikUqiUo1RhViCy6jFj
PAV2o3OfAvSPyHMlxLWURlJcRDABA7Xis6BpFVGMZDPvTiJK8iogSeBUgpoS0ogSSlu44tvIpJYJ
nxR4yI4EwpMCDLmSr6KQArnECZjCJo9vHpb4EXlOEcooCsMzkFxKUYsITEQShpQw5a6S4IIdyB+k
ZBx/XCq+gGdOxVxM397WQxlX2/Rz1V7XfmGsWLr8uatWGkbwUZLk/aKt6pKzJVtv//3GyzINVUWT
H45VRsM57s/dC14e7Z01vtX4n+/apjPdmorcobTNXVNWn/yxrzeUaN91pm76jVdZNNRTPF3o91+8
606k4bPw+954K4AlIasF+7bdmG56W8nvaMG+M92j2ZspYBcgVUNud2a9MdtZTEsYUnvEe7PbHRe/
mt333xYfDL21rYchUjM22qE95YPp9tRBfvORJAkmNWzo1O4xFDgDH0lwUgv4o/nWb0z9b9N896BL
3EsL/dbUm8d5HpLgivaAf+qW609vztLsn/Ex7471cb1puu7RA56ncTz+x2w56imD9hzr3x33X82X
EY79mi7CoEXHs+uaBhH3+ktf31muBPzJ7NotbTD1cYoRl43XYmQYijUnWghFWMtFC/9z0x8Wb5v9
vdmOwOz3dN6RFvqtQZgjsA7+GFsXlNNC/+v4FeiH6b1PuT817AePK0+pVS1ctLLZmb10TrXrhy/0
Tv3db2mk6v33cKWv6vNYz3FdPRERkpo67TG37X8PzLGevsJTuEkL/PlByEru/aFGNuVZtlXOfuoz
NNkiX5xjLZpuzd4OjB4BDUpWKojx79TAm3tsHPPocYULqOH0acHfNGxZH8E83dzWdKhBn/jtpvUk
tNzeltRqj/jTzixsaYP0zexTXZoe/sYcDm1/ccJTi4D2iBcMX1QS/3tUwdXhjj+BhD41sNb9uY1P
oNaFeLQY+mhqhlOOxGJpdLZhR3vMvDxaoDcWN9coWfpXS7oFCEZSssDSyPGe1+ylOX/z1P5y6YWO
LT1zf+a72PY31tvGdG/+BwAA//8=</cx:binary>
              </cx:geoCache>
            </cx:geography>
          </cx:layoutPr>
        </cx:series>
      </cx:plotAreaRegion>
    </cx:plotArea>
    <cx:legend pos="r" align="min" overlay="1"/>
  </cx:chart>
  <cx:spPr>
    <a:solidFill>
      <a:schemeClr val="accent4">
        <a:lumMod val="5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microsoft.com/office/2007/relationships/hdphoto" Target="../media/hdphoto2.wdp"/><Relationship Id="rId5" Type="http://schemas.openxmlformats.org/officeDocument/2006/relationships/image" Target="../media/image2.png"/><Relationship Id="rId4" Type="http://schemas.microsoft.com/office/2007/relationships/hdphoto" Target="../media/hdphoto1.wdp"/><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8</xdr:col>
      <xdr:colOff>219075</xdr:colOff>
      <xdr:row>4</xdr:row>
      <xdr:rowOff>26641</xdr:rowOff>
    </xdr:from>
    <xdr:to>
      <xdr:col>12</xdr:col>
      <xdr:colOff>571501</xdr:colOff>
      <xdr:row>15</xdr:row>
      <xdr:rowOff>19050</xdr:rowOff>
    </xdr:to>
    <xdr:sp macro="" textlink="">
      <xdr:nvSpPr>
        <xdr:cNvPr id="7" name="Rectangle 6">
          <a:extLst>
            <a:ext uri="{FF2B5EF4-FFF2-40B4-BE49-F238E27FC236}">
              <a16:creationId xmlns:a16="http://schemas.microsoft.com/office/drawing/2014/main" id="{50A84085-8FCA-00AB-6873-B2BD42C9031E}"/>
            </a:ext>
          </a:extLst>
        </xdr:cNvPr>
        <xdr:cNvSpPr/>
      </xdr:nvSpPr>
      <xdr:spPr>
        <a:xfrm>
          <a:off x="5095875" y="750541"/>
          <a:ext cx="2790826" cy="1983134"/>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a:solidFill>
                <a:schemeClr val="tx1"/>
              </a:solidFill>
            </a:ln>
          </a:endParaRPr>
        </a:p>
      </xdr:txBody>
    </xdr:sp>
    <xdr:clientData/>
  </xdr:twoCellAnchor>
  <xdr:twoCellAnchor>
    <xdr:from>
      <xdr:col>6</xdr:col>
      <xdr:colOff>486827</xdr:colOff>
      <xdr:row>0</xdr:row>
      <xdr:rowOff>123565</xdr:rowOff>
    </xdr:from>
    <xdr:to>
      <xdr:col>16</xdr:col>
      <xdr:colOff>409575</xdr:colOff>
      <xdr:row>16</xdr:row>
      <xdr:rowOff>21374</xdr:rowOff>
    </xdr:to>
    <xdr:graphicFrame macro="">
      <xdr:nvGraphicFramePr>
        <xdr:cNvPr id="8" name="Chart 7">
          <a:extLst>
            <a:ext uri="{FF2B5EF4-FFF2-40B4-BE49-F238E27FC236}">
              <a16:creationId xmlns:a16="http://schemas.microsoft.com/office/drawing/2014/main" id="{83FC1432-FD3D-4E63-922D-E71074990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95249</xdr:colOff>
      <xdr:row>4</xdr:row>
      <xdr:rowOff>28575</xdr:rowOff>
    </xdr:from>
    <xdr:to>
      <xdr:col>16</xdr:col>
      <xdr:colOff>209550</xdr:colOff>
      <xdr:row>15</xdr:row>
      <xdr:rowOff>19050</xdr:rowOff>
    </xdr:to>
    <xdr:sp macro="" textlink="">
      <xdr:nvSpPr>
        <xdr:cNvPr id="27" name="Rectangle 26">
          <a:extLst>
            <a:ext uri="{FF2B5EF4-FFF2-40B4-BE49-F238E27FC236}">
              <a16:creationId xmlns:a16="http://schemas.microsoft.com/office/drawing/2014/main" id="{5DE20F36-0F8C-AD10-0B24-7B6721F0F9F3}"/>
            </a:ext>
          </a:extLst>
        </xdr:cNvPr>
        <xdr:cNvSpPr/>
      </xdr:nvSpPr>
      <xdr:spPr>
        <a:xfrm>
          <a:off x="8020049" y="752475"/>
          <a:ext cx="1943101" cy="19812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169333</xdr:colOff>
      <xdr:row>0</xdr:row>
      <xdr:rowOff>110066</xdr:rowOff>
    </xdr:from>
    <xdr:to>
      <xdr:col>8</xdr:col>
      <xdr:colOff>135466</xdr:colOff>
      <xdr:row>34</xdr:row>
      <xdr:rowOff>59266</xdr:rowOff>
    </xdr:to>
    <xdr:sp macro="" textlink="">
      <xdr:nvSpPr>
        <xdr:cNvPr id="3" name="Rectangle 2">
          <a:extLst>
            <a:ext uri="{FF2B5EF4-FFF2-40B4-BE49-F238E27FC236}">
              <a16:creationId xmlns:a16="http://schemas.microsoft.com/office/drawing/2014/main" id="{20BBD781-1290-3D62-B502-046F2580AFDB}"/>
            </a:ext>
          </a:extLst>
        </xdr:cNvPr>
        <xdr:cNvSpPr/>
      </xdr:nvSpPr>
      <xdr:spPr>
        <a:xfrm>
          <a:off x="169333" y="110066"/>
          <a:ext cx="4842933" cy="6102350"/>
        </a:xfrm>
        <a:prstGeom prst="rect">
          <a:avLst/>
        </a:prstGeom>
        <a:ln>
          <a:solidFill>
            <a:schemeClr val="tx1">
              <a:lumMod val="95000"/>
              <a:lumOff val="5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220135</xdr:colOff>
      <xdr:row>0</xdr:row>
      <xdr:rowOff>159411</xdr:rowOff>
    </xdr:from>
    <xdr:to>
      <xdr:col>8</xdr:col>
      <xdr:colOff>84668</xdr:colOff>
      <xdr:row>33</xdr:row>
      <xdr:rowOff>116878</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FE3DC52B-0849-48E0-8FB4-DD9A7FF5B0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0135" y="159411"/>
              <a:ext cx="4741333" cy="59925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326622</xdr:colOff>
      <xdr:row>5</xdr:row>
      <xdr:rowOff>9100</xdr:rowOff>
    </xdr:from>
    <xdr:to>
      <xdr:col>10</xdr:col>
      <xdr:colOff>304481</xdr:colOff>
      <xdr:row>8</xdr:row>
      <xdr:rowOff>115894</xdr:rowOff>
    </xdr:to>
    <xdr:grpSp>
      <xdr:nvGrpSpPr>
        <xdr:cNvPr id="24" name="Group 23">
          <a:extLst>
            <a:ext uri="{FF2B5EF4-FFF2-40B4-BE49-F238E27FC236}">
              <a16:creationId xmlns:a16="http://schemas.microsoft.com/office/drawing/2014/main" id="{C630C924-A4C9-9773-B57F-B79A5A8D2851}"/>
            </a:ext>
          </a:extLst>
        </xdr:cNvPr>
        <xdr:cNvGrpSpPr/>
      </xdr:nvGrpSpPr>
      <xdr:grpSpPr>
        <a:xfrm>
          <a:off x="5203422" y="913975"/>
          <a:ext cx="1197059" cy="649719"/>
          <a:chOff x="5201420" y="554259"/>
          <a:chExt cx="945322" cy="576792"/>
        </a:xfrm>
      </xdr:grpSpPr>
      <xdr:sp macro="" textlink="">
        <xdr:nvSpPr>
          <xdr:cNvPr id="11" name="Rectangle: Rounded Corners 10">
            <a:extLst>
              <a:ext uri="{FF2B5EF4-FFF2-40B4-BE49-F238E27FC236}">
                <a16:creationId xmlns:a16="http://schemas.microsoft.com/office/drawing/2014/main" id="{CF711BD9-3DF5-EBC5-2B75-048451E0A745}"/>
              </a:ext>
            </a:extLst>
          </xdr:cNvPr>
          <xdr:cNvSpPr/>
        </xdr:nvSpPr>
        <xdr:spPr>
          <a:xfrm>
            <a:off x="5231455" y="554259"/>
            <a:ext cx="889000" cy="576792"/>
          </a:xfrm>
          <a:prstGeom prst="roundRect">
            <a:avLst/>
          </a:prstGeom>
          <a:ln>
            <a:solidFill>
              <a:schemeClr val="tx1">
                <a:lumMod val="95000"/>
                <a:lumOff val="5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ln>
                <a:noFill/>
              </a:ln>
            </a:endParaRPr>
          </a:p>
        </xdr:txBody>
      </xdr:sp>
      <xdr:sp macro="" textlink="">
        <xdr:nvSpPr>
          <xdr:cNvPr id="10" name="TextBox 9">
            <a:extLst>
              <a:ext uri="{FF2B5EF4-FFF2-40B4-BE49-F238E27FC236}">
                <a16:creationId xmlns:a16="http://schemas.microsoft.com/office/drawing/2014/main" id="{5A448D22-6092-9785-1667-20DA5EC2438A}"/>
              </a:ext>
            </a:extLst>
          </xdr:cNvPr>
          <xdr:cNvSpPr txBox="1"/>
        </xdr:nvSpPr>
        <xdr:spPr>
          <a:xfrm>
            <a:off x="5201420" y="568533"/>
            <a:ext cx="945322" cy="509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tx1"/>
                </a:solidFill>
                <a:latin typeface="+mn-lt"/>
              </a:rPr>
              <a:t>UTTAR</a:t>
            </a:r>
          </a:p>
          <a:p>
            <a:pPr algn="ctr"/>
            <a:r>
              <a:rPr lang="en-IN" sz="1400" b="1">
                <a:solidFill>
                  <a:schemeClr val="tx1"/>
                </a:solidFill>
                <a:latin typeface="+mn-lt"/>
              </a:rPr>
              <a:t>PRADESH</a:t>
            </a:r>
          </a:p>
        </xdr:txBody>
      </xdr:sp>
    </xdr:grpSp>
    <xdr:clientData/>
  </xdr:twoCellAnchor>
  <xdr:twoCellAnchor editAs="oneCell">
    <xdr:from>
      <xdr:col>11</xdr:col>
      <xdr:colOff>64560</xdr:colOff>
      <xdr:row>6</xdr:row>
      <xdr:rowOff>165410</xdr:rowOff>
    </xdr:from>
    <xdr:to>
      <xdr:col>12</xdr:col>
      <xdr:colOff>171449</xdr:colOff>
      <xdr:row>10</xdr:row>
      <xdr:rowOff>134863</xdr:rowOff>
    </xdr:to>
    <xdr:pic>
      <xdr:nvPicPr>
        <xdr:cNvPr id="15" name="Picture 14">
          <a:extLst>
            <a:ext uri="{FF2B5EF4-FFF2-40B4-BE49-F238E27FC236}">
              <a16:creationId xmlns:a16="http://schemas.microsoft.com/office/drawing/2014/main" id="{7A7CF088-DDEC-0627-7F78-952FF0AD6FB2}"/>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566" b="89994" l="9500" r="90063">
                      <a14:foregroundMark x1="10438" y1="25802" x2="9500" y2="16300"/>
                      <a14:foregroundMark x1="9500" y1="16300" x2="9813" y2="27313"/>
                      <a14:foregroundMark x1="13813" y1="9566" x2="13813" y2="9566"/>
                      <a14:foregroundMark x1="90063" y1="66897" x2="90063" y2="66897"/>
                      <a14:foregroundMark x1="22563" y1="78855" x2="22563" y2="78855"/>
                    </a14:backgroundRemoval>
                  </a14:imgEffect>
                  <a14:imgEffect>
                    <a14:artisticCutout/>
                  </a14:imgEffect>
                </a14:imgLayer>
              </a14:imgProps>
            </a:ext>
            <a:ext uri="{28A0092B-C50C-407E-A947-70E740481C1C}">
              <a14:useLocalDpi xmlns:a14="http://schemas.microsoft.com/office/drawing/2010/main" val="0"/>
            </a:ext>
          </a:extLst>
        </a:blip>
        <a:stretch>
          <a:fillRect/>
        </a:stretch>
      </xdr:blipFill>
      <xdr:spPr>
        <a:xfrm>
          <a:off x="6770160" y="1251260"/>
          <a:ext cx="716489" cy="693353"/>
        </a:xfrm>
        <a:prstGeom prst="rect">
          <a:avLst/>
        </a:prstGeom>
        <a:ln>
          <a:noFill/>
        </a:ln>
        <a:effectLst>
          <a:outerShdw blurRad="50800" dist="50800" dir="5400000" sx="85000" sy="85000" algn="ctr" rotWithShape="0">
            <a:srgbClr val="000000">
              <a:alpha val="62000"/>
            </a:srgbClr>
          </a:outerShdw>
        </a:effectLst>
      </xdr:spPr>
    </xdr:pic>
    <xdr:clientData/>
  </xdr:twoCellAnchor>
  <xdr:twoCellAnchor editAs="oneCell">
    <xdr:from>
      <xdr:col>13</xdr:col>
      <xdr:colOff>85725</xdr:colOff>
      <xdr:row>6</xdr:row>
      <xdr:rowOff>57150</xdr:rowOff>
    </xdr:from>
    <xdr:to>
      <xdr:col>16</xdr:col>
      <xdr:colOff>266700</xdr:colOff>
      <xdr:row>13</xdr:row>
      <xdr:rowOff>109812</xdr:rowOff>
    </xdr:to>
    <xdr:pic>
      <xdr:nvPicPr>
        <xdr:cNvPr id="29" name="Picture 28">
          <a:extLst>
            <a:ext uri="{FF2B5EF4-FFF2-40B4-BE49-F238E27FC236}">
              <a16:creationId xmlns:a16="http://schemas.microsoft.com/office/drawing/2014/main" id="{58975CDC-B8DF-FFC1-E2C3-74608BC58D85}"/>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colorTemperature colorTemp="11200"/>
                  </a14:imgEffect>
                  <a14:imgEffect>
                    <a14:saturation sat="62000"/>
                  </a14:imgEffect>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8010525" y="1143000"/>
          <a:ext cx="2009775" cy="1319487"/>
        </a:xfrm>
        <a:prstGeom prst="rect">
          <a:avLst/>
        </a:prstGeom>
        <a:noFill/>
        <a:ln>
          <a:noFill/>
        </a:ln>
        <a:effectLst>
          <a:outerShdw blurRad="50800" dist="50800" dir="5400000" sx="98000" sy="98000" algn="ctr" rotWithShape="0">
            <a:srgbClr val="000000"/>
          </a:outerShdw>
        </a:effectLst>
      </xdr:spPr>
    </xdr:pic>
    <xdr:clientData/>
  </xdr:twoCellAnchor>
  <xdr:twoCellAnchor>
    <xdr:from>
      <xdr:col>9</xdr:col>
      <xdr:colOff>457201</xdr:colOff>
      <xdr:row>8</xdr:row>
      <xdr:rowOff>100362</xdr:rowOff>
    </xdr:from>
    <xdr:to>
      <xdr:col>10</xdr:col>
      <xdr:colOff>460923</xdr:colOff>
      <xdr:row>12</xdr:row>
      <xdr:rowOff>9527</xdr:rowOff>
    </xdr:to>
    <xdr:cxnSp macro="">
      <xdr:nvCxnSpPr>
        <xdr:cNvPr id="17" name="Connector: Elbow 16">
          <a:extLst>
            <a:ext uri="{FF2B5EF4-FFF2-40B4-BE49-F238E27FC236}">
              <a16:creationId xmlns:a16="http://schemas.microsoft.com/office/drawing/2014/main" id="{C1364FB1-E52F-7738-8BF0-2223A8CFE9C3}"/>
            </a:ext>
          </a:extLst>
        </xdr:cNvPr>
        <xdr:cNvCxnSpPr/>
      </xdr:nvCxnSpPr>
      <xdr:spPr>
        <a:xfrm rot="5400000">
          <a:off x="5933729" y="1558034"/>
          <a:ext cx="633065" cy="613322"/>
        </a:xfrm>
        <a:prstGeom prst="bentConnector3">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8</xdr:col>
      <xdr:colOff>210363</xdr:colOff>
      <xdr:row>15</xdr:row>
      <xdr:rowOff>91799</xdr:rowOff>
    </xdr:from>
    <xdr:to>
      <xdr:col>18</xdr:col>
      <xdr:colOff>171451</xdr:colOff>
      <xdr:row>34</xdr:row>
      <xdr:rowOff>44961</xdr:rowOff>
    </xdr:to>
    <xdr:sp macro="" textlink="">
      <xdr:nvSpPr>
        <xdr:cNvPr id="18" name="Rectangle 17">
          <a:extLst>
            <a:ext uri="{FF2B5EF4-FFF2-40B4-BE49-F238E27FC236}">
              <a16:creationId xmlns:a16="http://schemas.microsoft.com/office/drawing/2014/main" id="{3503D923-C35B-EA2F-C617-A2AA85B26E11}"/>
            </a:ext>
          </a:extLst>
        </xdr:cNvPr>
        <xdr:cNvSpPr/>
      </xdr:nvSpPr>
      <xdr:spPr>
        <a:xfrm>
          <a:off x="5087163" y="2806424"/>
          <a:ext cx="6057088" cy="3391687"/>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261192</xdr:colOff>
      <xdr:row>15</xdr:row>
      <xdr:rowOff>142875</xdr:rowOff>
    </xdr:from>
    <xdr:to>
      <xdr:col>18</xdr:col>
      <xdr:colOff>126047</xdr:colOff>
      <xdr:row>33</xdr:row>
      <xdr:rowOff>173664</xdr:rowOff>
    </xdr:to>
    <xdr:graphicFrame macro="">
      <xdr:nvGraphicFramePr>
        <xdr:cNvPr id="19" name="Chart 18">
          <a:extLst>
            <a:ext uri="{FF2B5EF4-FFF2-40B4-BE49-F238E27FC236}">
              <a16:creationId xmlns:a16="http://schemas.microsoft.com/office/drawing/2014/main" id="{BAB3619B-CED5-41BF-949E-EBDBBA42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85616</xdr:colOff>
      <xdr:row>0</xdr:row>
      <xdr:rowOff>115498</xdr:rowOff>
    </xdr:from>
    <xdr:to>
      <xdr:col>16</xdr:col>
      <xdr:colOff>219075</xdr:colOff>
      <xdr:row>3</xdr:row>
      <xdr:rowOff>142875</xdr:rowOff>
    </xdr:to>
    <xdr:sp macro="" textlink="">
      <xdr:nvSpPr>
        <xdr:cNvPr id="20" name="Rectangle 19">
          <a:extLst>
            <a:ext uri="{FF2B5EF4-FFF2-40B4-BE49-F238E27FC236}">
              <a16:creationId xmlns:a16="http://schemas.microsoft.com/office/drawing/2014/main" id="{269DA6D9-FDC1-4598-A485-F07736E27A51}"/>
            </a:ext>
          </a:extLst>
        </xdr:cNvPr>
        <xdr:cNvSpPr/>
      </xdr:nvSpPr>
      <xdr:spPr>
        <a:xfrm>
          <a:off x="8010416" y="115498"/>
          <a:ext cx="1962259" cy="570302"/>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8</xdr:col>
      <xdr:colOff>219076</xdr:colOff>
      <xdr:row>0</xdr:row>
      <xdr:rowOff>114301</xdr:rowOff>
    </xdr:from>
    <xdr:to>
      <xdr:col>12</xdr:col>
      <xdr:colOff>581026</xdr:colOff>
      <xdr:row>3</xdr:row>
      <xdr:rowOff>142875</xdr:rowOff>
    </xdr:to>
    <xdr:sp macro="" textlink="">
      <xdr:nvSpPr>
        <xdr:cNvPr id="12" name="Rectangle 11">
          <a:extLst>
            <a:ext uri="{FF2B5EF4-FFF2-40B4-BE49-F238E27FC236}">
              <a16:creationId xmlns:a16="http://schemas.microsoft.com/office/drawing/2014/main" id="{87A39479-A2AF-A82C-E1A5-9CEF9F1E38E0}"/>
            </a:ext>
          </a:extLst>
        </xdr:cNvPr>
        <xdr:cNvSpPr/>
      </xdr:nvSpPr>
      <xdr:spPr>
        <a:xfrm>
          <a:off x="5095876" y="114301"/>
          <a:ext cx="2800350" cy="571499"/>
        </a:xfrm>
        <a:prstGeom prst="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8</xdr:col>
      <xdr:colOff>247650</xdr:colOff>
      <xdr:row>0</xdr:row>
      <xdr:rowOff>144731</xdr:rowOff>
    </xdr:from>
    <xdr:to>
      <xdr:col>12</xdr:col>
      <xdr:colOff>581025</xdr:colOff>
      <xdr:row>3</xdr:row>
      <xdr:rowOff>145020</xdr:rowOff>
    </xdr:to>
    <xdr:sp macro="" textlink="">
      <xdr:nvSpPr>
        <xdr:cNvPr id="13" name="TextBox 12">
          <a:extLst>
            <a:ext uri="{FF2B5EF4-FFF2-40B4-BE49-F238E27FC236}">
              <a16:creationId xmlns:a16="http://schemas.microsoft.com/office/drawing/2014/main" id="{0D0E8B1B-B70E-498B-9E85-F116FCFAE2D1}"/>
            </a:ext>
          </a:extLst>
        </xdr:cNvPr>
        <xdr:cNvSpPr txBox="1"/>
      </xdr:nvSpPr>
      <xdr:spPr>
        <a:xfrm>
          <a:off x="5124450" y="144731"/>
          <a:ext cx="2771775" cy="543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400" b="1">
              <a:solidFill>
                <a:schemeClr val="accent5">
                  <a:lumMod val="50000"/>
                </a:schemeClr>
              </a:solidFill>
              <a:latin typeface="+mj-lt"/>
              <a:cs typeface="Arial" panose="020B0604020202020204" pitchFamily="34" charset="0"/>
            </a:rPr>
            <a:t>State with highest</a:t>
          </a:r>
          <a:r>
            <a:rPr lang="en-IN" sz="1400" b="1" baseline="0">
              <a:solidFill>
                <a:schemeClr val="accent5">
                  <a:lumMod val="50000"/>
                </a:schemeClr>
              </a:solidFill>
              <a:latin typeface="+mj-lt"/>
              <a:cs typeface="Arial" panose="020B0604020202020204" pitchFamily="34" charset="0"/>
            </a:rPr>
            <a:t> number of </a:t>
          </a:r>
        </a:p>
        <a:p>
          <a:pPr algn="ctr"/>
          <a:r>
            <a:rPr lang="en-IN" sz="1400" b="1" baseline="0">
              <a:solidFill>
                <a:schemeClr val="accent5">
                  <a:lumMod val="50000"/>
                </a:schemeClr>
              </a:solidFill>
              <a:latin typeface="+mj-lt"/>
              <a:cs typeface="Arial" panose="020B0604020202020204" pitchFamily="34" charset="0"/>
            </a:rPr>
            <a:t>Enrolment (in %)</a:t>
          </a:r>
          <a:endParaRPr lang="en-IN" sz="1400" b="1">
            <a:solidFill>
              <a:schemeClr val="accent5">
                <a:lumMod val="50000"/>
              </a:schemeClr>
            </a:solidFill>
            <a:latin typeface="+mj-lt"/>
            <a:cs typeface="Arial" panose="020B0604020202020204" pitchFamily="34" charset="0"/>
          </a:endParaRPr>
        </a:p>
      </xdr:txBody>
    </xdr:sp>
    <xdr:clientData/>
  </xdr:twoCellAnchor>
  <xdr:twoCellAnchor>
    <xdr:from>
      <xdr:col>12</xdr:col>
      <xdr:colOff>486145</xdr:colOff>
      <xdr:row>0</xdr:row>
      <xdr:rowOff>135206</xdr:rowOff>
    </xdr:from>
    <xdr:to>
      <xdr:col>16</xdr:col>
      <xdr:colOff>447060</xdr:colOff>
      <xdr:row>3</xdr:row>
      <xdr:rowOff>137646</xdr:rowOff>
    </xdr:to>
    <xdr:sp macro="" textlink="">
      <xdr:nvSpPr>
        <xdr:cNvPr id="21" name="TextBox 20">
          <a:extLst>
            <a:ext uri="{FF2B5EF4-FFF2-40B4-BE49-F238E27FC236}">
              <a16:creationId xmlns:a16="http://schemas.microsoft.com/office/drawing/2014/main" id="{30C6A20E-8B62-40FC-9255-2EEF5D6265D5}"/>
            </a:ext>
          </a:extLst>
        </xdr:cNvPr>
        <xdr:cNvSpPr txBox="1"/>
      </xdr:nvSpPr>
      <xdr:spPr>
        <a:xfrm>
          <a:off x="7801345" y="135206"/>
          <a:ext cx="2399315" cy="545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400" b="1">
              <a:solidFill>
                <a:schemeClr val="accent5">
                  <a:lumMod val="50000"/>
                </a:schemeClr>
              </a:solidFill>
              <a:latin typeface="+mj-lt"/>
              <a:cs typeface="Arial" panose="020B0604020202020204" pitchFamily="34" charset="0"/>
            </a:rPr>
            <a:t>State with highest</a:t>
          </a:r>
          <a:r>
            <a:rPr lang="en-IN" sz="1400" b="1" baseline="0">
              <a:solidFill>
                <a:schemeClr val="accent5">
                  <a:lumMod val="50000"/>
                </a:schemeClr>
              </a:solidFill>
              <a:latin typeface="+mj-lt"/>
              <a:cs typeface="Arial" panose="020B0604020202020204" pitchFamily="34" charset="0"/>
            </a:rPr>
            <a:t> GPI</a:t>
          </a:r>
        </a:p>
        <a:p>
          <a:pPr algn="ctr"/>
          <a:r>
            <a:rPr lang="en-IN" sz="1400" b="1" baseline="0">
              <a:solidFill>
                <a:schemeClr val="accent5">
                  <a:lumMod val="50000"/>
                </a:schemeClr>
              </a:solidFill>
              <a:latin typeface="+mj-lt"/>
              <a:cs typeface="Arial" panose="020B0604020202020204" pitchFamily="34" charset="0"/>
            </a:rPr>
            <a:t>(Gender Parity Index)</a:t>
          </a:r>
          <a:endParaRPr lang="en-IN" sz="1400" b="1">
            <a:solidFill>
              <a:schemeClr val="accent5">
                <a:lumMod val="50000"/>
              </a:schemeClr>
            </a:solidFill>
            <a:latin typeface="+mj-lt"/>
            <a:cs typeface="Arial" panose="020B0604020202020204" pitchFamily="34" charset="0"/>
          </a:endParaRPr>
        </a:p>
      </xdr:txBody>
    </xdr:sp>
    <xdr:clientData/>
  </xdr:twoCellAnchor>
  <xdr:twoCellAnchor>
    <xdr:from>
      <xdr:col>13</xdr:col>
      <xdr:colOff>209295</xdr:colOff>
      <xdr:row>4</xdr:row>
      <xdr:rowOff>161925</xdr:rowOff>
    </xdr:from>
    <xdr:to>
      <xdr:col>16</xdr:col>
      <xdr:colOff>64506</xdr:colOff>
      <xdr:row>7</xdr:row>
      <xdr:rowOff>0</xdr:rowOff>
    </xdr:to>
    <xdr:sp macro="" textlink="">
      <xdr:nvSpPr>
        <xdr:cNvPr id="31" name="Rectangle: Rounded Corners 30">
          <a:extLst>
            <a:ext uri="{FF2B5EF4-FFF2-40B4-BE49-F238E27FC236}">
              <a16:creationId xmlns:a16="http://schemas.microsoft.com/office/drawing/2014/main" id="{B8502633-3618-8DF4-D26C-8542E3D37FA9}"/>
            </a:ext>
          </a:extLst>
        </xdr:cNvPr>
        <xdr:cNvSpPr/>
      </xdr:nvSpPr>
      <xdr:spPr>
        <a:xfrm>
          <a:off x="8134095" y="885825"/>
          <a:ext cx="1684011" cy="381000"/>
        </a:xfrm>
        <a:prstGeom prst="roundRect">
          <a:avLst/>
        </a:prstGeom>
        <a:ln>
          <a:solidFill>
            <a:schemeClr val="tx1">
              <a:lumMod val="95000"/>
              <a:lumOff val="5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13</xdr:col>
      <xdr:colOff>152400</xdr:colOff>
      <xdr:row>4</xdr:row>
      <xdr:rowOff>171354</xdr:rowOff>
    </xdr:from>
    <xdr:to>
      <xdr:col>16</xdr:col>
      <xdr:colOff>114300</xdr:colOff>
      <xdr:row>6</xdr:row>
      <xdr:rowOff>145784</xdr:rowOff>
    </xdr:to>
    <xdr:sp macro="" textlink="">
      <xdr:nvSpPr>
        <xdr:cNvPr id="32" name="TextBox 31">
          <a:extLst>
            <a:ext uri="{FF2B5EF4-FFF2-40B4-BE49-F238E27FC236}">
              <a16:creationId xmlns:a16="http://schemas.microsoft.com/office/drawing/2014/main" id="{3200BE22-DEF2-04E9-7E65-3B65AC080F19}"/>
            </a:ext>
          </a:extLst>
        </xdr:cNvPr>
        <xdr:cNvSpPr txBox="1"/>
      </xdr:nvSpPr>
      <xdr:spPr>
        <a:xfrm>
          <a:off x="8077200" y="895254"/>
          <a:ext cx="1790700" cy="336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600" b="1">
              <a:solidFill>
                <a:schemeClr val="tx1"/>
              </a:solidFill>
              <a:latin typeface="+mn-lt"/>
            </a:rPr>
            <a:t>MEGHALAYA</a:t>
          </a:r>
        </a:p>
      </xdr:txBody>
    </xdr:sp>
    <xdr:clientData/>
  </xdr:twoCellAnchor>
  <xdr:twoCellAnchor>
    <xdr:from>
      <xdr:col>13</xdr:col>
      <xdr:colOff>95251</xdr:colOff>
      <xdr:row>12</xdr:row>
      <xdr:rowOff>28575</xdr:rowOff>
    </xdr:from>
    <xdr:to>
      <xdr:col>16</xdr:col>
      <xdr:colOff>219075</xdr:colOff>
      <xdr:row>14</xdr:row>
      <xdr:rowOff>154103</xdr:rowOff>
    </xdr:to>
    <xdr:sp macro="" textlink="">
      <xdr:nvSpPr>
        <xdr:cNvPr id="34" name="TextBox 33">
          <a:extLst>
            <a:ext uri="{FF2B5EF4-FFF2-40B4-BE49-F238E27FC236}">
              <a16:creationId xmlns:a16="http://schemas.microsoft.com/office/drawing/2014/main" id="{B7EE59D3-6D0E-4AB2-BC59-294E3B5F3183}"/>
            </a:ext>
          </a:extLst>
        </xdr:cNvPr>
        <xdr:cNvSpPr txBox="1"/>
      </xdr:nvSpPr>
      <xdr:spPr>
        <a:xfrm>
          <a:off x="8020051" y="2200275"/>
          <a:ext cx="1952624" cy="487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400" b="1">
              <a:solidFill>
                <a:schemeClr val="accent5">
                  <a:lumMod val="50000"/>
                </a:schemeClr>
              </a:solidFill>
              <a:latin typeface="Trebuchet MS" panose="020B0603020202020204" pitchFamily="34" charset="0"/>
            </a:rPr>
            <a:t>1.04</a:t>
          </a:r>
        </a:p>
      </xdr:txBody>
    </xdr:sp>
    <xdr:clientData/>
  </xdr:twoCellAnchor>
  <xdr:twoCellAnchor>
    <xdr:from>
      <xdr:col>16</xdr:col>
      <xdr:colOff>314325</xdr:colOff>
      <xdr:row>0</xdr:row>
      <xdr:rowOff>104775</xdr:rowOff>
    </xdr:from>
    <xdr:to>
      <xdr:col>23</xdr:col>
      <xdr:colOff>76201</xdr:colOff>
      <xdr:row>15</xdr:row>
      <xdr:rowOff>28575</xdr:rowOff>
    </xdr:to>
    <xdr:graphicFrame macro="">
      <xdr:nvGraphicFramePr>
        <xdr:cNvPr id="35" name="Chart 34">
          <a:extLst>
            <a:ext uri="{FF2B5EF4-FFF2-40B4-BE49-F238E27FC236}">
              <a16:creationId xmlns:a16="http://schemas.microsoft.com/office/drawing/2014/main" id="{175C96E4-AF15-483A-9FE2-E0107EE76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257988</xdr:colOff>
      <xdr:row>15</xdr:row>
      <xdr:rowOff>110849</xdr:rowOff>
    </xdr:from>
    <xdr:to>
      <xdr:col>28</xdr:col>
      <xdr:colOff>476250</xdr:colOff>
      <xdr:row>34</xdr:row>
      <xdr:rowOff>64011</xdr:rowOff>
    </xdr:to>
    <xdr:sp macro="" textlink="">
      <xdr:nvSpPr>
        <xdr:cNvPr id="38" name="Rectangle 37">
          <a:extLst>
            <a:ext uri="{FF2B5EF4-FFF2-40B4-BE49-F238E27FC236}">
              <a16:creationId xmlns:a16="http://schemas.microsoft.com/office/drawing/2014/main" id="{8693D48C-44E9-400F-A816-05BA8938B558}"/>
            </a:ext>
          </a:extLst>
        </xdr:cNvPr>
        <xdr:cNvSpPr/>
      </xdr:nvSpPr>
      <xdr:spPr>
        <a:xfrm>
          <a:off x="11230788" y="2825474"/>
          <a:ext cx="6314262" cy="3391687"/>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304800</xdr:colOff>
      <xdr:row>15</xdr:row>
      <xdr:rowOff>152399</xdr:rowOff>
    </xdr:from>
    <xdr:to>
      <xdr:col>28</xdr:col>
      <xdr:colOff>438150</xdr:colOff>
      <xdr:row>33</xdr:row>
      <xdr:rowOff>171450</xdr:rowOff>
    </xdr:to>
    <xdr:graphicFrame macro="">
      <xdr:nvGraphicFramePr>
        <xdr:cNvPr id="37" name="Chart 36">
          <a:extLst>
            <a:ext uri="{FF2B5EF4-FFF2-40B4-BE49-F238E27FC236}">
              <a16:creationId xmlns:a16="http://schemas.microsoft.com/office/drawing/2014/main" id="{1E294BAE-2298-4D04-B798-288B2F6E5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editAs="absolute">
    <xdr:from>
      <xdr:col>23</xdr:col>
      <xdr:colOff>148590</xdr:colOff>
      <xdr:row>7</xdr:row>
      <xdr:rowOff>114301</xdr:rowOff>
    </xdr:from>
    <xdr:to>
      <xdr:col>28</xdr:col>
      <xdr:colOff>476250</xdr:colOff>
      <xdr:row>15</xdr:row>
      <xdr:rowOff>28575</xdr:rowOff>
    </xdr:to>
    <mc:AlternateContent xmlns:mc="http://schemas.openxmlformats.org/markup-compatibility/2006" xmlns:sle15="http://schemas.microsoft.com/office/drawing/2012/slicer">
      <mc:Choice Requires="sle15">
        <xdr:graphicFrame macro="">
          <xdr:nvGraphicFramePr>
            <xdr:cNvPr id="39" name="Top Ten State with Lowest Gender Gap">
              <a:extLst>
                <a:ext uri="{FF2B5EF4-FFF2-40B4-BE49-F238E27FC236}">
                  <a16:creationId xmlns:a16="http://schemas.microsoft.com/office/drawing/2014/main" id="{C2800537-72F0-495D-B835-BFC0F38259C6}"/>
                </a:ext>
              </a:extLst>
            </xdr:cNvPr>
            <xdr:cNvGraphicFramePr/>
          </xdr:nvGraphicFramePr>
          <xdr:xfrm>
            <a:off x="0" y="0"/>
            <a:ext cx="0" cy="0"/>
          </xdr:xfrm>
          <a:graphic>
            <a:graphicData uri="http://schemas.microsoft.com/office/drawing/2010/slicer">
              <sle:slicer xmlns:sle="http://schemas.microsoft.com/office/drawing/2010/slicer" name="Top Ten State with Lowest Gender Gap"/>
            </a:graphicData>
          </a:graphic>
        </xdr:graphicFrame>
      </mc:Choice>
      <mc:Fallback xmlns="">
        <xdr:sp macro="" textlink="">
          <xdr:nvSpPr>
            <xdr:cNvPr id="0" name=""/>
            <xdr:cNvSpPr>
              <a:spLocks noTextEdit="1"/>
            </xdr:cNvSpPr>
          </xdr:nvSpPr>
          <xdr:spPr>
            <a:xfrm>
              <a:off x="14169390" y="1381126"/>
              <a:ext cx="3089910" cy="1371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23</xdr:col>
      <xdr:colOff>171450</xdr:colOff>
      <xdr:row>0</xdr:row>
      <xdr:rowOff>104776</xdr:rowOff>
    </xdr:from>
    <xdr:to>
      <xdr:col>25</xdr:col>
      <xdr:colOff>581025</xdr:colOff>
      <xdr:row>6</xdr:row>
      <xdr:rowOff>152400</xdr:rowOff>
    </xdr:to>
    <xdr:sp macro="" textlink="">
      <xdr:nvSpPr>
        <xdr:cNvPr id="2" name="Rectangle: Rounded Corners 1">
          <a:extLst>
            <a:ext uri="{FF2B5EF4-FFF2-40B4-BE49-F238E27FC236}">
              <a16:creationId xmlns:a16="http://schemas.microsoft.com/office/drawing/2014/main" id="{6FD64F64-59A9-F1B0-3377-D8C1BFBBC7C9}"/>
            </a:ext>
          </a:extLst>
        </xdr:cNvPr>
        <xdr:cNvSpPr/>
      </xdr:nvSpPr>
      <xdr:spPr>
        <a:xfrm>
          <a:off x="14192250" y="104776"/>
          <a:ext cx="1628775" cy="1133474"/>
        </a:xfrm>
        <a:prstGeom prst="round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200026</xdr:colOff>
      <xdr:row>1</xdr:row>
      <xdr:rowOff>38100</xdr:rowOff>
    </xdr:from>
    <xdr:to>
      <xdr:col>25</xdr:col>
      <xdr:colOff>581026</xdr:colOff>
      <xdr:row>4</xdr:row>
      <xdr:rowOff>137646</xdr:rowOff>
    </xdr:to>
    <xdr:sp macro="" textlink="">
      <xdr:nvSpPr>
        <xdr:cNvPr id="5" name="TextBox 4">
          <a:extLst>
            <a:ext uri="{FF2B5EF4-FFF2-40B4-BE49-F238E27FC236}">
              <a16:creationId xmlns:a16="http://schemas.microsoft.com/office/drawing/2014/main" id="{76E6EE50-D5B7-46A8-A4E8-E19B1556B70C}"/>
            </a:ext>
          </a:extLst>
        </xdr:cNvPr>
        <xdr:cNvSpPr txBox="1"/>
      </xdr:nvSpPr>
      <xdr:spPr>
        <a:xfrm>
          <a:off x="14220826" y="219075"/>
          <a:ext cx="1600200" cy="642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800" b="1" u="sng">
              <a:solidFill>
                <a:schemeClr val="accent5">
                  <a:lumMod val="50000"/>
                </a:schemeClr>
              </a:solidFill>
              <a:latin typeface="+mj-lt"/>
              <a:cs typeface="Arial" panose="020B0604020202020204" pitchFamily="34" charset="0"/>
            </a:rPr>
            <a:t>AVERAGE GPI</a:t>
          </a:r>
        </a:p>
      </xdr:txBody>
    </xdr:sp>
    <xdr:clientData/>
  </xdr:twoCellAnchor>
  <xdr:twoCellAnchor>
    <xdr:from>
      <xdr:col>23</xdr:col>
      <xdr:colOff>180976</xdr:colOff>
      <xdr:row>2</xdr:row>
      <xdr:rowOff>123825</xdr:rowOff>
    </xdr:from>
    <xdr:to>
      <xdr:col>26</xdr:col>
      <xdr:colOff>19050</xdr:colOff>
      <xdr:row>7</xdr:row>
      <xdr:rowOff>114300</xdr:rowOff>
    </xdr:to>
    <xdr:sp macro="" textlink="">
      <xdr:nvSpPr>
        <xdr:cNvPr id="14" name="TextBox 13">
          <a:extLst>
            <a:ext uri="{FF2B5EF4-FFF2-40B4-BE49-F238E27FC236}">
              <a16:creationId xmlns:a16="http://schemas.microsoft.com/office/drawing/2014/main" id="{F4A19CC6-282F-4BA5-B5BF-EF2A7B3A8730}"/>
            </a:ext>
          </a:extLst>
        </xdr:cNvPr>
        <xdr:cNvSpPr txBox="1"/>
      </xdr:nvSpPr>
      <xdr:spPr>
        <a:xfrm>
          <a:off x="14201776" y="485775"/>
          <a:ext cx="1666874" cy="895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5400" b="1">
              <a:solidFill>
                <a:schemeClr val="accent5">
                  <a:lumMod val="50000"/>
                </a:schemeClr>
              </a:solidFill>
              <a:latin typeface="+mj-lt"/>
              <a:cs typeface="Arial" panose="020B0604020202020204" pitchFamily="34" charset="0"/>
            </a:rPr>
            <a:t>0.81</a:t>
          </a:r>
        </a:p>
      </xdr:txBody>
    </xdr:sp>
    <xdr:clientData/>
  </xdr:twoCellAnchor>
  <xdr:twoCellAnchor>
    <xdr:from>
      <xdr:col>26</xdr:col>
      <xdr:colOff>76200</xdr:colOff>
      <xdr:row>0</xdr:row>
      <xdr:rowOff>123826</xdr:rowOff>
    </xdr:from>
    <xdr:to>
      <xdr:col>28</xdr:col>
      <xdr:colOff>485775</xdr:colOff>
      <xdr:row>6</xdr:row>
      <xdr:rowOff>171450</xdr:rowOff>
    </xdr:to>
    <xdr:sp macro="" textlink="">
      <xdr:nvSpPr>
        <xdr:cNvPr id="16" name="Rectangle: Rounded Corners 15">
          <a:extLst>
            <a:ext uri="{FF2B5EF4-FFF2-40B4-BE49-F238E27FC236}">
              <a16:creationId xmlns:a16="http://schemas.microsoft.com/office/drawing/2014/main" id="{90D6B160-39DF-469E-B0E2-37814417EC52}"/>
            </a:ext>
          </a:extLst>
        </xdr:cNvPr>
        <xdr:cNvSpPr/>
      </xdr:nvSpPr>
      <xdr:spPr>
        <a:xfrm>
          <a:off x="15925800" y="123826"/>
          <a:ext cx="1628775" cy="1133474"/>
        </a:xfrm>
        <a:prstGeom prst="roundRect">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26</xdr:col>
      <xdr:colOff>85726</xdr:colOff>
      <xdr:row>0</xdr:row>
      <xdr:rowOff>133350</xdr:rowOff>
    </xdr:from>
    <xdr:to>
      <xdr:col>28</xdr:col>
      <xdr:colOff>466726</xdr:colOff>
      <xdr:row>4</xdr:row>
      <xdr:rowOff>51921</xdr:rowOff>
    </xdr:to>
    <xdr:sp macro="" textlink="">
      <xdr:nvSpPr>
        <xdr:cNvPr id="22" name="TextBox 21">
          <a:extLst>
            <a:ext uri="{FF2B5EF4-FFF2-40B4-BE49-F238E27FC236}">
              <a16:creationId xmlns:a16="http://schemas.microsoft.com/office/drawing/2014/main" id="{754C20D3-70E0-41EB-AAEB-D6328C6198F9}"/>
            </a:ext>
          </a:extLst>
        </xdr:cNvPr>
        <xdr:cNvSpPr txBox="1"/>
      </xdr:nvSpPr>
      <xdr:spPr>
        <a:xfrm>
          <a:off x="15935326" y="133350"/>
          <a:ext cx="1600200" cy="642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b="1" u="sng">
              <a:solidFill>
                <a:schemeClr val="accent5">
                  <a:lumMod val="50000"/>
                </a:schemeClr>
              </a:solidFill>
              <a:latin typeface="+mj-lt"/>
              <a:cs typeface="Arial" panose="020B0604020202020204" pitchFamily="34" charset="0"/>
            </a:rPr>
            <a:t>RELATIVE</a:t>
          </a:r>
          <a:endParaRPr lang="en-IN" sz="1600" b="1" u="sng">
            <a:solidFill>
              <a:schemeClr val="accent5">
                <a:lumMod val="50000"/>
              </a:schemeClr>
            </a:solidFill>
            <a:latin typeface="+mj-lt"/>
            <a:cs typeface="Arial" panose="020B0604020202020204" pitchFamily="34" charset="0"/>
          </a:endParaRPr>
        </a:p>
        <a:p>
          <a:pPr algn="ctr"/>
          <a:r>
            <a:rPr lang="en-IN" sz="1600" b="1" u="sng" baseline="0">
              <a:solidFill>
                <a:schemeClr val="accent5">
                  <a:lumMod val="50000"/>
                </a:schemeClr>
              </a:solidFill>
              <a:latin typeface="+mj-lt"/>
              <a:cs typeface="Arial" panose="020B0604020202020204" pitchFamily="34" charset="0"/>
            </a:rPr>
            <a:t>GENDER GAP</a:t>
          </a:r>
          <a:endParaRPr lang="en-IN" sz="1800" b="1" u="sng" baseline="0">
            <a:solidFill>
              <a:schemeClr val="accent5">
                <a:lumMod val="50000"/>
              </a:schemeClr>
            </a:solidFill>
            <a:latin typeface="+mj-lt"/>
            <a:cs typeface="Arial" panose="020B0604020202020204" pitchFamily="34" charset="0"/>
          </a:endParaRPr>
        </a:p>
      </xdr:txBody>
    </xdr:sp>
    <xdr:clientData/>
  </xdr:twoCellAnchor>
  <xdr:twoCellAnchor>
    <xdr:from>
      <xdr:col>26</xdr:col>
      <xdr:colOff>28576</xdr:colOff>
      <xdr:row>2</xdr:row>
      <xdr:rowOff>123825</xdr:rowOff>
    </xdr:from>
    <xdr:to>
      <xdr:col>28</xdr:col>
      <xdr:colOff>476250</xdr:colOff>
      <xdr:row>7</xdr:row>
      <xdr:rowOff>114300</xdr:rowOff>
    </xdr:to>
    <xdr:sp macro="" textlink="">
      <xdr:nvSpPr>
        <xdr:cNvPr id="23" name="TextBox 22">
          <a:extLst>
            <a:ext uri="{FF2B5EF4-FFF2-40B4-BE49-F238E27FC236}">
              <a16:creationId xmlns:a16="http://schemas.microsoft.com/office/drawing/2014/main" id="{DFBB3E42-46C2-4F6C-BCAC-1A5631B30D9E}"/>
            </a:ext>
          </a:extLst>
        </xdr:cNvPr>
        <xdr:cNvSpPr txBox="1"/>
      </xdr:nvSpPr>
      <xdr:spPr>
        <a:xfrm>
          <a:off x="15878176" y="485775"/>
          <a:ext cx="1666874" cy="895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5400" b="1">
              <a:solidFill>
                <a:schemeClr val="accent5">
                  <a:lumMod val="50000"/>
                </a:schemeClr>
              </a:solidFill>
              <a:latin typeface="+mj-lt"/>
              <a:cs typeface="Arial" panose="020B0604020202020204" pitchFamily="34" charset="0"/>
            </a:rPr>
            <a:t>11%</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0.71631</cdr:x>
      <cdr:y>0.31047</cdr:y>
    </cdr:from>
    <cdr:to>
      <cdr:x>0.98345</cdr:x>
      <cdr:y>0.76173</cdr:y>
    </cdr:to>
    <cdr:pic>
      <cdr:nvPicPr>
        <cdr:cNvPr id="3" name="Graphic 2" descr="Man with solid fill">
          <a:extLst xmlns:a="http://schemas.openxmlformats.org/drawingml/2006/main">
            <a:ext uri="{FF2B5EF4-FFF2-40B4-BE49-F238E27FC236}">
              <a16:creationId xmlns:a16="http://schemas.microsoft.com/office/drawing/2014/main" id="{8788E16F-10A4-B3BF-31A9-61A995AEFA4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886074" y="819149"/>
          <a:ext cx="1076327" cy="1190625"/>
        </a:xfrm>
        <a:prstGeom xmlns:a="http://schemas.openxmlformats.org/drawingml/2006/main" prst="rect">
          <a:avLst/>
        </a:prstGeom>
        <a:effectLst xmlns:a="http://schemas.openxmlformats.org/drawingml/2006/main">
          <a:outerShdw blurRad="50800" dir="5400000" sx="99000" sy="99000" algn="ctr" rotWithShape="0">
            <a:srgbClr val="000000">
              <a:alpha val="26000"/>
            </a:srgbClr>
          </a:outerShdw>
        </a:effectLst>
      </cdr:spPr>
    </cdr:pic>
  </cdr:relSizeAnchor>
  <cdr:relSizeAnchor xmlns:cdr="http://schemas.openxmlformats.org/drawingml/2006/chartDrawing">
    <cdr:from>
      <cdr:x>0</cdr:x>
      <cdr:y>0.31678</cdr:y>
    </cdr:from>
    <cdr:to>
      <cdr:x>0.2961</cdr:x>
      <cdr:y>0.76895</cdr:y>
    </cdr:to>
    <cdr:pic>
      <cdr:nvPicPr>
        <cdr:cNvPr id="5" name="Graphic 4" descr="Woman with solid fill">
          <a:extLst xmlns:a="http://schemas.openxmlformats.org/drawingml/2006/main">
            <a:ext uri="{FF2B5EF4-FFF2-40B4-BE49-F238E27FC236}">
              <a16:creationId xmlns:a16="http://schemas.microsoft.com/office/drawing/2014/main" id="{919159B3-601A-4B7F-2928-ABC68B169E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0" y="835799"/>
          <a:ext cx="1193026" cy="1193026"/>
        </a:xfrm>
        <a:prstGeom xmlns:a="http://schemas.openxmlformats.org/drawingml/2006/main" prst="rect">
          <a:avLst/>
        </a:prstGeom>
        <a:effectLst xmlns:a="http://schemas.openxmlformats.org/drawingml/2006/main">
          <a:outerShdw blurRad="50800" dir="5400000" sx="99000" sy="99000" algn="ctr" rotWithShape="0">
            <a:srgbClr val="000000">
              <a:alpha val="26000"/>
            </a:srgbClr>
          </a:outerShdw>
        </a:effectLst>
      </cdr:spPr>
    </cdr:pic>
  </cdr:relSizeAnchor>
</c:userShap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Ten_State_with_Lowest_Gender_Gap" xr10:uid="{7DF28C18-F13D-43C7-AFD6-C2D331C266C2}" sourceName="Top Ten State with Lowest Gender Gap">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 Ten State with Lowest Gender Gap" xr10:uid="{30EFDDB7-4D4A-42BC-8CD3-1A682ADB53EA}" cache="Slicer_Top_Ten_State_with_Lowest_Gender_Gap" caption="Gender Gap"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989CCD-CB1E-4EB8-A19E-513EC4115F61}" name="Table3" displayName="Table3" ref="A1:I39" totalsRowShown="0" headerRowDxfId="20" tableBorderDxfId="19" headerRowCellStyle="Percent">
  <autoFilter ref="A1:I39" xr:uid="{26989CCD-CB1E-4EB8-A19E-513EC4115F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D990E06-0CA7-4E98-8444-F3480423911F}" name="India/State/ UT" dataDxfId="18"/>
    <tableColumn id="2" xr3:uid="{89EAE277-519D-4B7B-959C-D943CBCDB6FC}" name=" Total Enrolment (Pre-Primary to Higher Secondary) - Boys" dataDxfId="17"/>
    <tableColumn id="3" xr3:uid="{1F05347C-9137-48CA-AEBF-69597EE62318}" name="Total Enrolment (Pre-Primary to Higher secondary) - Girls" dataDxfId="16"/>
    <tableColumn id="4" xr3:uid="{6714E385-4ABF-49ED-ABD9-7260E525F09E}" name="Total Enrolment (Pre-Primary to Higher secondary) - Total" dataDxfId="15"/>
    <tableColumn id="6" xr3:uid="{CEF61C2E-099F-4D7D-BDCD-F2DA36405AC0}" name="Total Boys (in %)" dataDxfId="14" dataCellStyle="Percent">
      <calculatedColumnFormula>B2/$B$2</calculatedColumnFormula>
    </tableColumn>
    <tableColumn id="7" xr3:uid="{195B46E7-229F-467B-B060-3A73AB0C0A8C}" name="Total Girls (in %)" dataDxfId="13" dataCellStyle="Percent">
      <calculatedColumnFormula>C2/$C$2</calculatedColumnFormula>
    </tableColumn>
    <tableColumn id="8" xr3:uid="{25F61B77-6DF2-4FD2-A035-80C4477E9EB0}" name="Total Enrolment (in %)" dataDxfId="12" dataCellStyle="Percent">
      <calculatedColumnFormula>D2/$D$2</calculatedColumnFormula>
    </tableColumn>
    <tableColumn id="9" xr3:uid="{7A5C5C85-22CE-4C2C-827C-5632B4E83697}" name="Gender  Gap" dataDxfId="11">
      <calculatedColumnFormula>B2-C2</calculatedColumnFormula>
    </tableColumn>
    <tableColumn id="10" xr3:uid="{1E592B1E-D146-4A5C-92A9-D1E83826A4F5}" name="Gender Parity Index (GPI)" dataDxfId="10">
      <calculatedColumnFormula>C2/B2</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59876B-4640-4928-A51D-005EF7919331}" name="Table6" displayName="Table6" ref="M2:N12" totalsRowShown="0" headerRowDxfId="9">
  <autoFilter ref="M2:N12" xr:uid="{4459876B-4640-4928-A51D-005EF7919331}">
    <filterColumn colId="0" hiddenButton="1"/>
    <filterColumn colId="1" hiddenButton="1"/>
  </autoFilter>
  <tableColumns count="2">
    <tableColumn id="1" xr3:uid="{6A5E7947-4450-4D2A-80DC-A3202FA904DB}" name="Top Ten State with Lowest Gender Gap"/>
    <tableColumn id="2" xr3:uid="{25B7A20B-A38E-4F3E-9B79-3BD882C121B4}" name="Gender Gap"/>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B566E4-33E9-4DD5-8822-0F5674755B64}" name="Table4" displayName="Table4" ref="M14:N24" totalsRowShown="0" headerRowBorderDxfId="8" tableBorderDxfId="7">
  <autoFilter ref="M14:N24" xr:uid="{9AB566E4-33E9-4DD5-8822-0F5674755B64}">
    <filterColumn colId="0" hiddenButton="1"/>
    <filterColumn colId="1" hiddenButton="1"/>
  </autoFilter>
  <tableColumns count="2">
    <tableColumn id="1" xr3:uid="{9A25F5BD-F05E-44EE-BCB7-1E8EB2A10A83}" name="Top Ten State - wise Enrolment" dataDxfId="6"/>
    <tableColumn id="2" xr3:uid="{7C2C2021-2D80-4114-A8BF-BF9B126C929A}" name="Total Enrolment (Pre-Primary to Higher secondary) - Total" dataDxfId="5"/>
  </tableColumns>
  <tableStyleInfo name="TableStyleMedium6" showFirstColumn="0" showLastColumn="0" showRowStripes="1" showColumnStripes="0"/>
</table>
</file>

<file path=xl/theme/theme1.xml><?xml version="1.0" encoding="utf-8"?>
<a:theme xmlns:a="http://schemas.openxmlformats.org/drawingml/2006/main" name="Facet">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E41FDA3-FD25-4B3D-A7F9-F3DB330A224B}">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2375-6E14-4DF9-8DE6-A49EAC200A93}">
  <dimension ref="A1:Y38"/>
  <sheetViews>
    <sheetView topLeftCell="R1" zoomScale="61" zoomScaleNormal="70" workbookViewId="0">
      <selection activeCell="AC6" sqref="AC6"/>
    </sheetView>
  </sheetViews>
  <sheetFormatPr defaultRowHeight="14.4" x14ac:dyDescent="0.3"/>
  <cols>
    <col min="1" max="1" width="26.5546875" style="2" customWidth="1"/>
    <col min="2" max="2" width="29.109375" style="1" customWidth="1"/>
    <col min="3" max="3" width="31.5546875" style="1" customWidth="1"/>
    <col min="4" max="4" width="31.88671875" style="1" customWidth="1"/>
    <col min="5" max="5" width="32.44140625" style="1" customWidth="1"/>
    <col min="6" max="6" width="33.109375" style="1" customWidth="1"/>
    <col min="7" max="7" width="36.77734375" style="1" customWidth="1"/>
    <col min="8" max="8" width="37.33203125" style="1" customWidth="1"/>
    <col min="9" max="9" width="43.44140625" style="1" customWidth="1"/>
    <col min="10" max="10" width="36.5546875" style="1" customWidth="1"/>
    <col min="11" max="11" width="34.88671875" style="1" customWidth="1"/>
    <col min="12" max="12" width="35.88671875" style="1" customWidth="1"/>
    <col min="13" max="13" width="34.77734375" style="1" customWidth="1"/>
    <col min="14" max="14" width="34.88671875" style="1" customWidth="1"/>
    <col min="15" max="15" width="32.88671875" style="1" customWidth="1"/>
    <col min="16" max="16" width="39.88671875" style="1" customWidth="1"/>
    <col min="17" max="17" width="42.33203125" style="1" customWidth="1"/>
    <col min="18" max="18" width="41.5546875" style="1" customWidth="1"/>
    <col min="19" max="19" width="35.5546875" style="1" customWidth="1"/>
    <col min="20" max="20" width="38.33203125" style="1" customWidth="1"/>
    <col min="21" max="21" width="37.21875" style="1" customWidth="1"/>
    <col min="22" max="22" width="39.6640625" style="1" customWidth="1"/>
    <col min="23" max="23" width="47.5546875" style="1" customWidth="1"/>
    <col min="24" max="24" width="44.109375" style="1" customWidth="1"/>
    <col min="25" max="25" width="41.5546875" style="1" customWidth="1"/>
    <col min="26" max="26" width="67.44140625" style="1" customWidth="1"/>
    <col min="27" max="27" width="63" style="1" customWidth="1"/>
    <col min="28" max="28" width="43.109375" style="1" customWidth="1"/>
    <col min="29" max="29" width="46" style="1" customWidth="1"/>
    <col min="30" max="30" width="33.44140625" style="1" customWidth="1"/>
    <col min="31" max="31" width="30.44140625" style="1" customWidth="1"/>
    <col min="32" max="32" width="28.6640625" style="1" customWidth="1"/>
    <col min="33" max="16384" width="8.88671875" style="1"/>
  </cols>
  <sheetData>
    <row r="1" spans="1:25" s="4" customFormat="1" ht="43.8" x14ac:dyDescent="0.35">
      <c r="A1" s="5"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x14ac:dyDescent="0.3">
      <c r="A2" s="2" t="s">
        <v>25</v>
      </c>
      <c r="B2" s="1">
        <v>3165922</v>
      </c>
      <c r="C2" s="1">
        <v>2655069</v>
      </c>
      <c r="D2" s="1">
        <v>5820991</v>
      </c>
      <c r="E2" s="1">
        <v>21642902</v>
      </c>
      <c r="F2" s="1">
        <v>17293492</v>
      </c>
      <c r="G2" s="1">
        <v>38936394</v>
      </c>
      <c r="H2" s="1">
        <v>11253354</v>
      </c>
      <c r="I2" s="1">
        <v>8759875</v>
      </c>
      <c r="J2" s="1">
        <v>20013229</v>
      </c>
      <c r="K2" s="1">
        <v>32896256</v>
      </c>
      <c r="L2" s="1">
        <v>26053367</v>
      </c>
      <c r="M2" s="1">
        <v>58949623</v>
      </c>
      <c r="N2" s="1">
        <v>7229787</v>
      </c>
      <c r="O2" s="1">
        <v>5617494</v>
      </c>
      <c r="P2" s="1">
        <v>12847281</v>
      </c>
      <c r="Q2" s="1">
        <v>5879924</v>
      </c>
      <c r="R2" s="1">
        <v>4773497</v>
      </c>
      <c r="S2" s="1">
        <v>10653421</v>
      </c>
      <c r="T2" s="1">
        <v>46005967</v>
      </c>
      <c r="U2" s="1">
        <v>36444358</v>
      </c>
      <c r="V2" s="1">
        <v>82450325</v>
      </c>
      <c r="W2" s="1">
        <v>49171889</v>
      </c>
      <c r="X2" s="1">
        <v>39099427</v>
      </c>
      <c r="Y2" s="1">
        <v>88271316</v>
      </c>
    </row>
    <row r="3" spans="1:25" x14ac:dyDescent="0.3">
      <c r="A3" s="2" t="s">
        <v>26</v>
      </c>
      <c r="B3" s="1">
        <v>1508</v>
      </c>
      <c r="C3" s="1">
        <v>1468</v>
      </c>
      <c r="D3" s="1">
        <v>2976</v>
      </c>
      <c r="E3" s="1">
        <v>5144</v>
      </c>
      <c r="F3" s="1">
        <v>4656</v>
      </c>
      <c r="G3" s="1">
        <v>9800</v>
      </c>
      <c r="H3" s="1">
        <v>2361</v>
      </c>
      <c r="I3" s="1">
        <v>2162</v>
      </c>
      <c r="J3" s="1">
        <v>4523</v>
      </c>
      <c r="K3" s="1">
        <v>7505</v>
      </c>
      <c r="L3" s="1">
        <v>6818</v>
      </c>
      <c r="M3" s="1">
        <v>14323</v>
      </c>
      <c r="N3" s="1">
        <v>1071</v>
      </c>
      <c r="O3" s="1">
        <v>1091</v>
      </c>
      <c r="P3" s="1">
        <v>2162</v>
      </c>
      <c r="Q3" s="1">
        <v>678</v>
      </c>
      <c r="R3" s="1">
        <v>663</v>
      </c>
      <c r="S3" s="1">
        <v>1341</v>
      </c>
      <c r="T3" s="1">
        <v>9254</v>
      </c>
      <c r="U3" s="1">
        <v>8572</v>
      </c>
      <c r="V3" s="1">
        <v>17826</v>
      </c>
      <c r="W3" s="1">
        <v>10762</v>
      </c>
      <c r="X3" s="1">
        <v>10040</v>
      </c>
      <c r="Y3" s="1">
        <v>20802</v>
      </c>
    </row>
    <row r="4" spans="1:25" x14ac:dyDescent="0.3">
      <c r="A4" s="2" t="s">
        <v>27</v>
      </c>
      <c r="B4" s="1">
        <v>39414</v>
      </c>
      <c r="C4" s="1">
        <v>32953</v>
      </c>
      <c r="D4" s="1">
        <v>72367</v>
      </c>
      <c r="E4" s="1">
        <v>789604</v>
      </c>
      <c r="F4" s="1">
        <v>634492</v>
      </c>
      <c r="G4" s="1">
        <v>1424096</v>
      </c>
      <c r="H4" s="1">
        <v>418029</v>
      </c>
      <c r="I4" s="1">
        <v>316656</v>
      </c>
      <c r="J4" s="1">
        <v>734685</v>
      </c>
      <c r="K4" s="1">
        <v>1207633</v>
      </c>
      <c r="L4" s="1">
        <v>951148</v>
      </c>
      <c r="M4" s="1">
        <v>2158781</v>
      </c>
      <c r="N4" s="1">
        <v>266457</v>
      </c>
      <c r="O4" s="1">
        <v>205300</v>
      </c>
      <c r="P4" s="1">
        <v>471757</v>
      </c>
      <c r="Q4" s="1">
        <v>319839</v>
      </c>
      <c r="R4" s="1">
        <v>299048</v>
      </c>
      <c r="S4" s="1">
        <v>618887</v>
      </c>
      <c r="T4" s="1">
        <v>1793929</v>
      </c>
      <c r="U4" s="1">
        <v>1455496</v>
      </c>
      <c r="V4" s="1">
        <v>3249425</v>
      </c>
      <c r="W4" s="1">
        <v>1833343</v>
      </c>
      <c r="X4" s="1">
        <v>1488449</v>
      </c>
      <c r="Y4" s="1">
        <v>3321792</v>
      </c>
    </row>
    <row r="5" spans="1:25" x14ac:dyDescent="0.3">
      <c r="A5" s="2" t="s">
        <v>28</v>
      </c>
      <c r="B5" s="1">
        <v>8480</v>
      </c>
      <c r="C5" s="1">
        <v>7359</v>
      </c>
      <c r="D5" s="1">
        <v>15839</v>
      </c>
      <c r="E5" s="1">
        <v>27338</v>
      </c>
      <c r="F5" s="1">
        <v>22606</v>
      </c>
      <c r="G5" s="1">
        <v>49944</v>
      </c>
      <c r="H5" s="1">
        <v>10706</v>
      </c>
      <c r="I5" s="1">
        <v>8105</v>
      </c>
      <c r="J5" s="1">
        <v>18811</v>
      </c>
      <c r="K5" s="1">
        <v>38044</v>
      </c>
      <c r="L5" s="1">
        <v>30711</v>
      </c>
      <c r="M5" s="1">
        <v>68755</v>
      </c>
      <c r="N5" s="1">
        <v>3884</v>
      </c>
      <c r="O5" s="1">
        <v>3226</v>
      </c>
      <c r="P5" s="1">
        <v>7110</v>
      </c>
      <c r="Q5" s="1">
        <v>1601</v>
      </c>
      <c r="R5" s="1">
        <v>1635</v>
      </c>
      <c r="S5" s="1">
        <v>3236</v>
      </c>
      <c r="T5" s="1">
        <v>43529</v>
      </c>
      <c r="U5" s="1">
        <v>35572</v>
      </c>
      <c r="V5" s="1">
        <v>79101</v>
      </c>
      <c r="W5" s="1">
        <v>52009</v>
      </c>
      <c r="X5" s="1">
        <v>42931</v>
      </c>
      <c r="Y5" s="1">
        <v>94940</v>
      </c>
    </row>
    <row r="6" spans="1:25" x14ac:dyDescent="0.3">
      <c r="A6" s="2" t="s">
        <v>29</v>
      </c>
      <c r="B6" s="1">
        <v>107652</v>
      </c>
      <c r="C6" s="1">
        <v>91207</v>
      </c>
      <c r="D6" s="1">
        <v>198859</v>
      </c>
      <c r="E6" s="1">
        <v>391625</v>
      </c>
      <c r="F6" s="1">
        <v>328619</v>
      </c>
      <c r="G6" s="1">
        <v>720244</v>
      </c>
      <c r="H6" s="1">
        <v>187184</v>
      </c>
      <c r="I6" s="1">
        <v>160754</v>
      </c>
      <c r="J6" s="1">
        <v>347938</v>
      </c>
      <c r="K6" s="1">
        <v>578809</v>
      </c>
      <c r="L6" s="1">
        <v>489373</v>
      </c>
      <c r="M6" s="1">
        <v>1068182</v>
      </c>
      <c r="N6" s="1">
        <v>103964</v>
      </c>
      <c r="O6" s="1">
        <v>91565</v>
      </c>
      <c r="P6" s="1">
        <v>195529</v>
      </c>
      <c r="Q6" s="1">
        <v>66065</v>
      </c>
      <c r="R6" s="1">
        <v>66500</v>
      </c>
      <c r="S6" s="1">
        <v>132565</v>
      </c>
      <c r="T6" s="1">
        <v>748838</v>
      </c>
      <c r="U6" s="1">
        <v>647438</v>
      </c>
      <c r="V6" s="1">
        <v>1396276</v>
      </c>
      <c r="W6" s="1">
        <v>856490</v>
      </c>
      <c r="X6" s="1">
        <v>738645</v>
      </c>
      <c r="Y6" s="1">
        <v>1595135</v>
      </c>
    </row>
    <row r="7" spans="1:25" x14ac:dyDescent="0.3">
      <c r="A7" s="2" t="s">
        <v>30</v>
      </c>
      <c r="B7" s="1">
        <v>137757</v>
      </c>
      <c r="C7" s="1">
        <v>93981</v>
      </c>
      <c r="D7" s="1">
        <v>231738</v>
      </c>
      <c r="E7" s="1">
        <v>776343</v>
      </c>
      <c r="F7" s="1">
        <v>520403</v>
      </c>
      <c r="G7" s="1">
        <v>1296746</v>
      </c>
      <c r="H7" s="1">
        <v>396671</v>
      </c>
      <c r="I7" s="1">
        <v>265754</v>
      </c>
      <c r="J7" s="1">
        <v>662425</v>
      </c>
      <c r="K7" s="1">
        <v>1173014</v>
      </c>
      <c r="L7" s="1">
        <v>786157</v>
      </c>
      <c r="M7" s="1">
        <v>1959171</v>
      </c>
      <c r="N7" s="1">
        <v>286714</v>
      </c>
      <c r="O7" s="1">
        <v>220909</v>
      </c>
      <c r="P7" s="1">
        <v>507623</v>
      </c>
      <c r="Q7" s="1">
        <v>333463</v>
      </c>
      <c r="R7" s="1">
        <v>274262</v>
      </c>
      <c r="S7" s="1">
        <v>607725</v>
      </c>
      <c r="T7" s="1">
        <v>1793191</v>
      </c>
      <c r="U7" s="1">
        <v>1281328</v>
      </c>
      <c r="V7" s="1">
        <v>3074519</v>
      </c>
      <c r="W7" s="1">
        <v>1930948</v>
      </c>
      <c r="X7" s="1">
        <v>1375309</v>
      </c>
      <c r="Y7" s="1">
        <v>3306257</v>
      </c>
    </row>
    <row r="8" spans="1:25" x14ac:dyDescent="0.3">
      <c r="A8" s="2" t="s">
        <v>31</v>
      </c>
      <c r="B8" s="1">
        <v>6297</v>
      </c>
      <c r="C8" s="1">
        <v>5653</v>
      </c>
      <c r="D8" s="1">
        <v>11950</v>
      </c>
      <c r="E8" s="1">
        <v>17812</v>
      </c>
      <c r="F8" s="1">
        <v>14953</v>
      </c>
      <c r="G8" s="1">
        <v>32765</v>
      </c>
      <c r="H8" s="1">
        <v>10801</v>
      </c>
      <c r="I8" s="1">
        <v>8815</v>
      </c>
      <c r="J8" s="1">
        <v>19616</v>
      </c>
      <c r="K8" s="1">
        <v>28613</v>
      </c>
      <c r="L8" s="1">
        <v>23768</v>
      </c>
      <c r="M8" s="1">
        <v>52381</v>
      </c>
      <c r="N8" s="1">
        <v>7496</v>
      </c>
      <c r="O8" s="1">
        <v>5797</v>
      </c>
      <c r="P8" s="1">
        <v>13293</v>
      </c>
      <c r="Q8" s="1">
        <v>6008</v>
      </c>
      <c r="R8" s="1">
        <v>4887</v>
      </c>
      <c r="S8" s="1">
        <v>10895</v>
      </c>
      <c r="T8" s="1">
        <v>42117</v>
      </c>
      <c r="U8" s="1">
        <v>34452</v>
      </c>
      <c r="V8" s="1">
        <v>76569</v>
      </c>
      <c r="W8" s="1">
        <v>48414</v>
      </c>
      <c r="X8" s="1">
        <v>40105</v>
      </c>
      <c r="Y8" s="1">
        <v>88519</v>
      </c>
    </row>
    <row r="9" spans="1:25" x14ac:dyDescent="0.3">
      <c r="A9" s="2" t="s">
        <v>32</v>
      </c>
      <c r="B9" s="1">
        <v>118510</v>
      </c>
      <c r="C9" s="1">
        <v>105709</v>
      </c>
      <c r="D9" s="1">
        <v>224219</v>
      </c>
      <c r="E9" s="1">
        <v>403938</v>
      </c>
      <c r="F9" s="1">
        <v>352959</v>
      </c>
      <c r="G9" s="1">
        <v>756897</v>
      </c>
      <c r="H9" s="1">
        <v>184860</v>
      </c>
      <c r="I9" s="1">
        <v>156226</v>
      </c>
      <c r="J9" s="1">
        <v>341086</v>
      </c>
      <c r="K9" s="1">
        <v>588798</v>
      </c>
      <c r="L9" s="1">
        <v>509185</v>
      </c>
      <c r="M9" s="1">
        <v>1097983</v>
      </c>
      <c r="N9" s="1">
        <v>94175</v>
      </c>
      <c r="O9" s="1">
        <v>78880</v>
      </c>
      <c r="P9" s="1">
        <v>173055</v>
      </c>
      <c r="Q9" s="1">
        <v>79893</v>
      </c>
      <c r="R9" s="1">
        <v>68450</v>
      </c>
      <c r="S9" s="1">
        <v>148343</v>
      </c>
      <c r="T9" s="1">
        <v>762866</v>
      </c>
      <c r="U9" s="1">
        <v>656515</v>
      </c>
      <c r="V9" s="1">
        <v>1419381</v>
      </c>
      <c r="W9" s="1">
        <v>881376</v>
      </c>
      <c r="X9" s="1">
        <v>762224</v>
      </c>
      <c r="Y9" s="1">
        <v>1643600</v>
      </c>
    </row>
    <row r="10" spans="1:25" ht="28.8" x14ac:dyDescent="0.3">
      <c r="A10" s="3" t="s">
        <v>33</v>
      </c>
      <c r="B10" s="1">
        <v>1779</v>
      </c>
      <c r="C10" s="1">
        <v>1413</v>
      </c>
      <c r="D10" s="1">
        <v>3192</v>
      </c>
      <c r="E10" s="1">
        <v>9471</v>
      </c>
      <c r="F10" s="1">
        <v>7096</v>
      </c>
      <c r="G10" s="1">
        <v>16567</v>
      </c>
      <c r="H10" s="1">
        <v>4710</v>
      </c>
      <c r="I10" s="1">
        <v>3341</v>
      </c>
      <c r="J10" s="1">
        <v>8051</v>
      </c>
      <c r="K10" s="1">
        <v>14181</v>
      </c>
      <c r="L10" s="1">
        <v>10437</v>
      </c>
      <c r="M10" s="1">
        <v>24618</v>
      </c>
      <c r="N10" s="1">
        <v>2769</v>
      </c>
      <c r="O10" s="1">
        <v>1872</v>
      </c>
      <c r="P10" s="1">
        <v>4641</v>
      </c>
      <c r="Q10" s="1">
        <v>1602</v>
      </c>
      <c r="R10" s="1">
        <v>1170</v>
      </c>
      <c r="S10" s="1">
        <v>2772</v>
      </c>
      <c r="T10" s="1">
        <v>18552</v>
      </c>
      <c r="U10" s="1">
        <v>13479</v>
      </c>
      <c r="V10" s="1">
        <v>32031</v>
      </c>
      <c r="W10" s="1">
        <v>20331</v>
      </c>
      <c r="X10" s="1">
        <v>14892</v>
      </c>
      <c r="Y10" s="1">
        <v>35223</v>
      </c>
    </row>
    <row r="11" spans="1:25" x14ac:dyDescent="0.3">
      <c r="A11" s="2" t="s">
        <v>34</v>
      </c>
      <c r="B11" s="1">
        <v>70194</v>
      </c>
      <c r="C11" s="1">
        <v>58640</v>
      </c>
      <c r="D11" s="1">
        <v>128834</v>
      </c>
      <c r="E11" s="1">
        <v>417578</v>
      </c>
      <c r="F11" s="1">
        <v>312993</v>
      </c>
      <c r="G11" s="1">
        <v>730571</v>
      </c>
      <c r="H11" s="1">
        <v>225324</v>
      </c>
      <c r="I11" s="1">
        <v>155120</v>
      </c>
      <c r="J11" s="1">
        <v>380444</v>
      </c>
      <c r="K11" s="1">
        <v>642902</v>
      </c>
      <c r="L11" s="1">
        <v>468113</v>
      </c>
      <c r="M11" s="1">
        <v>1111015</v>
      </c>
      <c r="N11" s="1">
        <v>121935</v>
      </c>
      <c r="O11" s="1">
        <v>82184</v>
      </c>
      <c r="P11" s="1">
        <v>204119</v>
      </c>
      <c r="Q11" s="1">
        <v>106445</v>
      </c>
      <c r="R11" s="1">
        <v>74109</v>
      </c>
      <c r="S11" s="1">
        <v>180554</v>
      </c>
      <c r="T11" s="1">
        <v>871282</v>
      </c>
      <c r="U11" s="1">
        <v>624406</v>
      </c>
      <c r="V11" s="1">
        <v>1495688</v>
      </c>
      <c r="W11" s="1">
        <v>941476</v>
      </c>
      <c r="X11" s="1">
        <v>683046</v>
      </c>
      <c r="Y11" s="1">
        <v>1624522</v>
      </c>
    </row>
    <row r="12" spans="1:25" x14ac:dyDescent="0.3">
      <c r="A12" s="2" t="s">
        <v>35</v>
      </c>
      <c r="B12" s="1">
        <v>3652</v>
      </c>
      <c r="C12" s="1">
        <v>3223</v>
      </c>
      <c r="D12" s="1">
        <v>6875</v>
      </c>
      <c r="E12" s="1">
        <v>12978</v>
      </c>
      <c r="F12" s="1">
        <v>11108</v>
      </c>
      <c r="G12" s="1">
        <v>24086</v>
      </c>
      <c r="H12" s="1">
        <v>2215</v>
      </c>
      <c r="I12" s="1">
        <v>2071</v>
      </c>
      <c r="J12" s="1">
        <v>4286</v>
      </c>
      <c r="K12" s="1">
        <v>15193</v>
      </c>
      <c r="L12" s="1">
        <v>13179</v>
      </c>
      <c r="M12" s="1">
        <v>28372</v>
      </c>
      <c r="N12" s="1">
        <v>1180</v>
      </c>
      <c r="O12" s="1">
        <v>1120</v>
      </c>
      <c r="P12" s="1">
        <v>2300</v>
      </c>
      <c r="Q12" s="1">
        <v>866</v>
      </c>
      <c r="R12" s="1">
        <v>700</v>
      </c>
      <c r="S12" s="1">
        <v>1566</v>
      </c>
      <c r="T12" s="1">
        <v>17239</v>
      </c>
      <c r="U12" s="1">
        <v>14999</v>
      </c>
      <c r="V12" s="1">
        <v>32238</v>
      </c>
      <c r="W12" s="1">
        <v>20891</v>
      </c>
      <c r="X12" s="1">
        <v>18222</v>
      </c>
      <c r="Y12" s="1">
        <v>39113</v>
      </c>
    </row>
    <row r="13" spans="1:25" x14ac:dyDescent="0.3">
      <c r="A13" s="2" t="s">
        <v>36</v>
      </c>
      <c r="B13" s="1">
        <v>87635</v>
      </c>
      <c r="C13" s="1">
        <v>70156</v>
      </c>
      <c r="D13" s="1">
        <v>157791</v>
      </c>
      <c r="E13" s="1">
        <v>1107303</v>
      </c>
      <c r="F13" s="1">
        <v>848011</v>
      </c>
      <c r="G13" s="1">
        <v>1955314</v>
      </c>
      <c r="H13" s="1">
        <v>621885</v>
      </c>
      <c r="I13" s="1">
        <v>463917</v>
      </c>
      <c r="J13" s="1">
        <v>1085802</v>
      </c>
      <c r="K13" s="1">
        <v>1729188</v>
      </c>
      <c r="L13" s="1">
        <v>1311928</v>
      </c>
      <c r="M13" s="1">
        <v>3041116</v>
      </c>
      <c r="N13" s="1">
        <v>313106</v>
      </c>
      <c r="O13" s="1">
        <v>211188</v>
      </c>
      <c r="P13" s="1">
        <v>524294</v>
      </c>
      <c r="Q13" s="1">
        <v>256138</v>
      </c>
      <c r="R13" s="1">
        <v>176429</v>
      </c>
      <c r="S13" s="1">
        <v>432567</v>
      </c>
      <c r="T13" s="1">
        <v>2298432</v>
      </c>
      <c r="U13" s="1">
        <v>1699545</v>
      </c>
      <c r="V13" s="1">
        <v>3997977</v>
      </c>
      <c r="W13" s="1">
        <v>2386067</v>
      </c>
      <c r="X13" s="1">
        <v>1769701</v>
      </c>
      <c r="Y13" s="1">
        <v>4155768</v>
      </c>
    </row>
    <row r="14" spans="1:25" x14ac:dyDescent="0.3">
      <c r="A14" s="2" t="s">
        <v>37</v>
      </c>
      <c r="B14" s="1">
        <v>120637</v>
      </c>
      <c r="C14" s="1">
        <v>94646</v>
      </c>
      <c r="D14" s="1">
        <v>215283</v>
      </c>
      <c r="E14" s="1">
        <v>780210</v>
      </c>
      <c r="F14" s="1">
        <v>562248</v>
      </c>
      <c r="G14" s="1">
        <v>1342458</v>
      </c>
      <c r="H14" s="1">
        <v>479889</v>
      </c>
      <c r="I14" s="1">
        <v>336053</v>
      </c>
      <c r="J14" s="1">
        <v>815942</v>
      </c>
      <c r="K14" s="1">
        <v>1260099</v>
      </c>
      <c r="L14" s="1">
        <v>898301</v>
      </c>
      <c r="M14" s="1">
        <v>2158400</v>
      </c>
      <c r="N14" s="1">
        <v>311080</v>
      </c>
      <c r="O14" s="1">
        <v>211566</v>
      </c>
      <c r="P14" s="1">
        <v>522646</v>
      </c>
      <c r="Q14" s="1">
        <v>235324</v>
      </c>
      <c r="R14" s="1">
        <v>170214</v>
      </c>
      <c r="S14" s="1">
        <v>405538</v>
      </c>
      <c r="T14" s="1">
        <v>1806503</v>
      </c>
      <c r="U14" s="1">
        <v>1280081</v>
      </c>
      <c r="V14" s="1">
        <v>3086584</v>
      </c>
      <c r="W14" s="1">
        <v>1927140</v>
      </c>
      <c r="X14" s="1">
        <v>1374727</v>
      </c>
      <c r="Y14" s="1">
        <v>3301867</v>
      </c>
    </row>
    <row r="15" spans="1:25" x14ac:dyDescent="0.3">
      <c r="A15" s="2" t="s">
        <v>38</v>
      </c>
      <c r="B15" s="1">
        <v>33731</v>
      </c>
      <c r="C15" s="1">
        <v>28483</v>
      </c>
      <c r="D15" s="1">
        <v>62214</v>
      </c>
      <c r="E15" s="1">
        <v>131356</v>
      </c>
      <c r="F15" s="1">
        <v>107292</v>
      </c>
      <c r="G15" s="1">
        <v>238648</v>
      </c>
      <c r="H15" s="1">
        <v>68642</v>
      </c>
      <c r="I15" s="1">
        <v>54162</v>
      </c>
      <c r="J15" s="1">
        <v>122804</v>
      </c>
      <c r="K15" s="1">
        <v>199998</v>
      </c>
      <c r="L15" s="1">
        <v>161454</v>
      </c>
      <c r="M15" s="1">
        <v>361452</v>
      </c>
      <c r="N15" s="1">
        <v>40523</v>
      </c>
      <c r="O15" s="1">
        <v>30945</v>
      </c>
      <c r="P15" s="1">
        <v>71468</v>
      </c>
      <c r="Q15" s="1">
        <v>23054</v>
      </c>
      <c r="R15" s="1">
        <v>18016</v>
      </c>
      <c r="S15" s="1">
        <v>41070</v>
      </c>
      <c r="T15" s="1">
        <v>263575</v>
      </c>
      <c r="U15" s="1">
        <v>210415</v>
      </c>
      <c r="V15" s="1">
        <v>473990</v>
      </c>
      <c r="W15" s="1">
        <v>297306</v>
      </c>
      <c r="X15" s="1">
        <v>238898</v>
      </c>
      <c r="Y15" s="1">
        <v>536204</v>
      </c>
    </row>
    <row r="16" spans="1:25" x14ac:dyDescent="0.3">
      <c r="A16" s="2" t="s">
        <v>39</v>
      </c>
      <c r="B16" s="1">
        <v>132741</v>
      </c>
      <c r="C16" s="1">
        <v>114224</v>
      </c>
      <c r="D16" s="1">
        <v>246965</v>
      </c>
      <c r="E16" s="1">
        <v>295461</v>
      </c>
      <c r="F16" s="1">
        <v>244353</v>
      </c>
      <c r="G16" s="1">
        <v>539814</v>
      </c>
      <c r="H16" s="1">
        <v>147435</v>
      </c>
      <c r="I16" s="1">
        <v>118002</v>
      </c>
      <c r="J16" s="1">
        <v>265437</v>
      </c>
      <c r="K16" s="1">
        <v>442896</v>
      </c>
      <c r="L16" s="1">
        <v>362355</v>
      </c>
      <c r="M16" s="1">
        <v>805251</v>
      </c>
      <c r="N16" s="1">
        <v>74806</v>
      </c>
      <c r="O16" s="1">
        <v>59635</v>
      </c>
      <c r="P16" s="1">
        <v>134441</v>
      </c>
      <c r="Q16" s="1">
        <v>27366</v>
      </c>
      <c r="R16" s="1">
        <v>21010</v>
      </c>
      <c r="S16" s="1">
        <v>48376</v>
      </c>
      <c r="T16" s="1">
        <v>545068</v>
      </c>
      <c r="U16" s="1">
        <v>443000</v>
      </c>
      <c r="V16" s="1">
        <v>988068</v>
      </c>
      <c r="W16" s="1">
        <v>677809</v>
      </c>
      <c r="X16" s="1">
        <v>557224</v>
      </c>
      <c r="Y16" s="1">
        <v>1235033</v>
      </c>
    </row>
    <row r="17" spans="1:25" x14ac:dyDescent="0.3">
      <c r="A17" s="2" t="s">
        <v>40</v>
      </c>
      <c r="B17" s="1">
        <v>35131</v>
      </c>
      <c r="C17" s="1">
        <v>26873</v>
      </c>
      <c r="D17" s="1">
        <v>62004</v>
      </c>
      <c r="E17" s="1">
        <v>188375</v>
      </c>
      <c r="F17" s="1">
        <v>137348</v>
      </c>
      <c r="G17" s="1">
        <v>325723</v>
      </c>
      <c r="H17" s="1">
        <v>155333</v>
      </c>
      <c r="I17" s="1">
        <v>114506</v>
      </c>
      <c r="J17" s="1">
        <v>269839</v>
      </c>
      <c r="K17" s="1">
        <v>343708</v>
      </c>
      <c r="L17" s="1">
        <v>251854</v>
      </c>
      <c r="M17" s="1">
        <v>595562</v>
      </c>
      <c r="N17" s="1">
        <v>181921</v>
      </c>
      <c r="O17" s="1">
        <v>151905</v>
      </c>
      <c r="P17" s="1">
        <v>333826</v>
      </c>
      <c r="Q17" s="1">
        <v>169167</v>
      </c>
      <c r="R17" s="1">
        <v>146928</v>
      </c>
      <c r="S17" s="1">
        <v>316095</v>
      </c>
      <c r="T17" s="1">
        <v>694796</v>
      </c>
      <c r="U17" s="1">
        <v>550687</v>
      </c>
      <c r="V17" s="1">
        <v>1245483</v>
      </c>
      <c r="W17" s="1">
        <v>729927</v>
      </c>
      <c r="X17" s="1">
        <v>577560</v>
      </c>
      <c r="Y17" s="1">
        <v>1307487</v>
      </c>
    </row>
    <row r="18" spans="1:25" x14ac:dyDescent="0.3">
      <c r="A18" s="2" t="s">
        <v>41</v>
      </c>
      <c r="B18" s="1">
        <v>127688</v>
      </c>
      <c r="C18" s="1">
        <v>110615</v>
      </c>
      <c r="D18" s="1">
        <v>238303</v>
      </c>
      <c r="E18" s="1">
        <v>1318518</v>
      </c>
      <c r="F18" s="1">
        <v>1087963</v>
      </c>
      <c r="G18" s="1">
        <v>2406481</v>
      </c>
      <c r="H18" s="1">
        <v>665322</v>
      </c>
      <c r="I18" s="1">
        <v>543463</v>
      </c>
      <c r="J18" s="1">
        <v>1208785</v>
      </c>
      <c r="K18" s="1">
        <v>1983840</v>
      </c>
      <c r="L18" s="1">
        <v>1631426</v>
      </c>
      <c r="M18" s="1">
        <v>3615266</v>
      </c>
      <c r="N18" s="1">
        <v>375777</v>
      </c>
      <c r="O18" s="1">
        <v>310929</v>
      </c>
      <c r="P18" s="1">
        <v>686706</v>
      </c>
      <c r="Q18" s="1">
        <v>314949</v>
      </c>
      <c r="R18" s="1">
        <v>297961</v>
      </c>
      <c r="S18" s="1">
        <v>612910</v>
      </c>
      <c r="T18" s="1">
        <v>2674566</v>
      </c>
      <c r="U18" s="1">
        <v>2240316</v>
      </c>
      <c r="V18" s="1">
        <v>4914882</v>
      </c>
      <c r="W18" s="1">
        <v>2802254</v>
      </c>
      <c r="X18" s="1">
        <v>2350931</v>
      </c>
      <c r="Y18" s="1">
        <v>5153185</v>
      </c>
    </row>
    <row r="19" spans="1:25" x14ac:dyDescent="0.3">
      <c r="A19" s="2" t="s">
        <v>42</v>
      </c>
      <c r="B19" s="1">
        <v>97352</v>
      </c>
      <c r="C19" s="1">
        <v>91777</v>
      </c>
      <c r="D19" s="1">
        <v>189129</v>
      </c>
      <c r="E19" s="1">
        <v>406191</v>
      </c>
      <c r="F19" s="1">
        <v>373091</v>
      </c>
      <c r="G19" s="1">
        <v>779282</v>
      </c>
      <c r="H19" s="1">
        <v>183653</v>
      </c>
      <c r="I19" s="1">
        <v>168795</v>
      </c>
      <c r="J19" s="1">
        <v>352448</v>
      </c>
      <c r="K19" s="1">
        <v>589844</v>
      </c>
      <c r="L19" s="1">
        <v>541886</v>
      </c>
      <c r="M19" s="1">
        <v>1131730</v>
      </c>
      <c r="N19" s="1">
        <v>95902</v>
      </c>
      <c r="O19" s="1">
        <v>92501</v>
      </c>
      <c r="P19" s="1">
        <v>188403</v>
      </c>
      <c r="Q19" s="1">
        <v>58373</v>
      </c>
      <c r="R19" s="1">
        <v>56586</v>
      </c>
      <c r="S19" s="1">
        <v>114959</v>
      </c>
      <c r="T19" s="1">
        <v>744119</v>
      </c>
      <c r="U19" s="1">
        <v>690973</v>
      </c>
      <c r="V19" s="1">
        <v>1435092</v>
      </c>
      <c r="W19" s="1">
        <v>841471</v>
      </c>
      <c r="X19" s="1">
        <v>782750</v>
      </c>
      <c r="Y19" s="1">
        <v>1624221</v>
      </c>
    </row>
    <row r="20" spans="1:25" x14ac:dyDescent="0.3">
      <c r="A20" s="2" t="s">
        <v>43</v>
      </c>
      <c r="B20" s="1">
        <v>3249</v>
      </c>
      <c r="C20" s="1">
        <v>2779</v>
      </c>
      <c r="D20" s="1">
        <v>6028</v>
      </c>
      <c r="E20" s="1">
        <v>6943</v>
      </c>
      <c r="F20" s="1">
        <v>6202</v>
      </c>
      <c r="G20" s="1">
        <v>13145</v>
      </c>
      <c r="H20" s="1">
        <v>3455</v>
      </c>
      <c r="I20" s="1">
        <v>3141</v>
      </c>
      <c r="J20" s="1">
        <v>6596</v>
      </c>
      <c r="K20" s="1">
        <v>10398</v>
      </c>
      <c r="L20" s="1">
        <v>9343</v>
      </c>
      <c r="M20" s="1">
        <v>19741</v>
      </c>
      <c r="N20" s="1">
        <v>1588</v>
      </c>
      <c r="O20" s="1">
        <v>1519</v>
      </c>
      <c r="P20" s="1">
        <v>3107</v>
      </c>
      <c r="Q20" s="1">
        <v>388</v>
      </c>
      <c r="R20" s="1">
        <v>494</v>
      </c>
      <c r="S20" s="1">
        <v>882</v>
      </c>
      <c r="T20" s="1">
        <v>12374</v>
      </c>
      <c r="U20" s="1">
        <v>11356</v>
      </c>
      <c r="V20" s="1">
        <v>23730</v>
      </c>
      <c r="W20" s="1">
        <v>15623</v>
      </c>
      <c r="X20" s="1">
        <v>14135</v>
      </c>
      <c r="Y20" s="1">
        <v>29758</v>
      </c>
    </row>
    <row r="21" spans="1:25" x14ac:dyDescent="0.3">
      <c r="A21" s="2" t="s">
        <v>44</v>
      </c>
      <c r="B21" s="1">
        <v>0</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row>
    <row r="22" spans="1:25" x14ac:dyDescent="0.3">
      <c r="A22" s="2" t="s">
        <v>45</v>
      </c>
      <c r="B22" s="1">
        <v>387886</v>
      </c>
      <c r="C22" s="1">
        <v>324364</v>
      </c>
      <c r="D22" s="1">
        <v>712250</v>
      </c>
      <c r="E22" s="1">
        <v>1639135</v>
      </c>
      <c r="F22" s="1">
        <v>1312743</v>
      </c>
      <c r="G22" s="1">
        <v>2951878</v>
      </c>
      <c r="H22" s="1">
        <v>919007</v>
      </c>
      <c r="I22" s="1">
        <v>699888</v>
      </c>
      <c r="J22" s="1">
        <v>1618895</v>
      </c>
      <c r="K22" s="1">
        <v>2558142</v>
      </c>
      <c r="L22" s="1">
        <v>2012631</v>
      </c>
      <c r="M22" s="1">
        <v>4570773</v>
      </c>
      <c r="N22" s="1">
        <v>399644</v>
      </c>
      <c r="O22" s="1">
        <v>289275</v>
      </c>
      <c r="P22" s="1">
        <v>688919</v>
      </c>
      <c r="Q22" s="1">
        <v>322007</v>
      </c>
      <c r="R22" s="1">
        <v>229547</v>
      </c>
      <c r="S22" s="1">
        <v>551554</v>
      </c>
      <c r="T22" s="1">
        <v>3279793</v>
      </c>
      <c r="U22" s="1">
        <v>2531453</v>
      </c>
      <c r="V22" s="1">
        <v>5811246</v>
      </c>
      <c r="W22" s="1">
        <v>3667679</v>
      </c>
      <c r="X22" s="1">
        <v>2855817</v>
      </c>
      <c r="Y22" s="1">
        <v>6523496</v>
      </c>
    </row>
    <row r="23" spans="1:25" x14ac:dyDescent="0.3">
      <c r="A23" s="2" t="s">
        <v>46</v>
      </c>
      <c r="B23" s="1">
        <v>178719</v>
      </c>
      <c r="C23" s="1">
        <v>153547</v>
      </c>
      <c r="D23" s="1">
        <v>332266</v>
      </c>
      <c r="E23" s="1">
        <v>1701667</v>
      </c>
      <c r="F23" s="1">
        <v>1356404</v>
      </c>
      <c r="G23" s="1">
        <v>3058071</v>
      </c>
      <c r="H23" s="1">
        <v>833071</v>
      </c>
      <c r="I23" s="1">
        <v>620527</v>
      </c>
      <c r="J23" s="1">
        <v>1453598</v>
      </c>
      <c r="K23" s="1">
        <v>2534738</v>
      </c>
      <c r="L23" s="1">
        <v>1976931</v>
      </c>
      <c r="M23" s="1">
        <v>4511669</v>
      </c>
      <c r="N23" s="1">
        <v>513065</v>
      </c>
      <c r="O23" s="1">
        <v>379242</v>
      </c>
      <c r="P23" s="1">
        <v>892307</v>
      </c>
      <c r="Q23" s="1">
        <v>373015</v>
      </c>
      <c r="R23" s="1">
        <v>283148</v>
      </c>
      <c r="S23" s="1">
        <v>656163</v>
      </c>
      <c r="T23" s="1">
        <v>3420818</v>
      </c>
      <c r="U23" s="1">
        <v>2639321</v>
      </c>
      <c r="V23" s="1">
        <v>6060139</v>
      </c>
      <c r="W23" s="1">
        <v>3599537</v>
      </c>
      <c r="X23" s="1">
        <v>2792868</v>
      </c>
      <c r="Y23" s="1">
        <v>6392405</v>
      </c>
    </row>
    <row r="24" spans="1:25" x14ac:dyDescent="0.3">
      <c r="A24" s="2" t="s">
        <v>47</v>
      </c>
      <c r="B24" s="1">
        <v>22457</v>
      </c>
      <c r="C24" s="1">
        <v>20960</v>
      </c>
      <c r="D24" s="1">
        <v>43417</v>
      </c>
      <c r="E24" s="1">
        <v>85789</v>
      </c>
      <c r="F24" s="1">
        <v>79866</v>
      </c>
      <c r="G24" s="1">
        <v>165655</v>
      </c>
      <c r="H24" s="1">
        <v>53460</v>
      </c>
      <c r="I24" s="1">
        <v>50418</v>
      </c>
      <c r="J24" s="1">
        <v>103878</v>
      </c>
      <c r="K24" s="1">
        <v>139249</v>
      </c>
      <c r="L24" s="1">
        <v>130284</v>
      </c>
      <c r="M24" s="1">
        <v>269533</v>
      </c>
      <c r="N24" s="1">
        <v>32990</v>
      </c>
      <c r="O24" s="1">
        <v>32035</v>
      </c>
      <c r="P24" s="1">
        <v>65025</v>
      </c>
      <c r="Q24" s="1">
        <v>26631</v>
      </c>
      <c r="R24" s="1">
        <v>25560</v>
      </c>
      <c r="S24" s="1">
        <v>52191</v>
      </c>
      <c r="T24" s="1">
        <v>198870</v>
      </c>
      <c r="U24" s="1">
        <v>187879</v>
      </c>
      <c r="V24" s="1">
        <v>386749</v>
      </c>
      <c r="W24" s="1">
        <v>221327</v>
      </c>
      <c r="X24" s="1">
        <v>208839</v>
      </c>
      <c r="Y24" s="1">
        <v>430166</v>
      </c>
    </row>
    <row r="25" spans="1:25" x14ac:dyDescent="0.3">
      <c r="A25" s="2" t="s">
        <v>48</v>
      </c>
      <c r="B25" s="1">
        <v>27773</v>
      </c>
      <c r="C25" s="1">
        <v>27140</v>
      </c>
      <c r="D25" s="1">
        <v>54913</v>
      </c>
      <c r="E25" s="1">
        <v>60485</v>
      </c>
      <c r="F25" s="1">
        <v>60224</v>
      </c>
      <c r="G25" s="1">
        <v>120709</v>
      </c>
      <c r="H25" s="1">
        <v>15854</v>
      </c>
      <c r="I25" s="1">
        <v>16809</v>
      </c>
      <c r="J25" s="1">
        <v>32663</v>
      </c>
      <c r="K25" s="1">
        <v>76339</v>
      </c>
      <c r="L25" s="1">
        <v>77033</v>
      </c>
      <c r="M25" s="1">
        <v>153372</v>
      </c>
      <c r="N25" s="1">
        <v>15276</v>
      </c>
      <c r="O25" s="1">
        <v>18366</v>
      </c>
      <c r="P25" s="1">
        <v>33642</v>
      </c>
      <c r="Q25" s="1">
        <v>10774</v>
      </c>
      <c r="R25" s="1">
        <v>12966</v>
      </c>
      <c r="S25" s="1">
        <v>23740</v>
      </c>
      <c r="T25" s="1">
        <v>102389</v>
      </c>
      <c r="U25" s="1">
        <v>108365</v>
      </c>
      <c r="V25" s="1">
        <v>210754</v>
      </c>
      <c r="W25" s="1">
        <v>130162</v>
      </c>
      <c r="X25" s="1">
        <v>135505</v>
      </c>
      <c r="Y25" s="1">
        <v>265667</v>
      </c>
    </row>
    <row r="26" spans="1:25" x14ac:dyDescent="0.3">
      <c r="A26" s="2" t="s">
        <v>49</v>
      </c>
      <c r="B26" s="1">
        <v>10327</v>
      </c>
      <c r="C26" s="1">
        <v>10424</v>
      </c>
      <c r="D26" s="1">
        <v>20751</v>
      </c>
      <c r="E26" s="1">
        <v>31158</v>
      </c>
      <c r="F26" s="1">
        <v>30664</v>
      </c>
      <c r="G26" s="1">
        <v>61822</v>
      </c>
      <c r="H26" s="1">
        <v>14738</v>
      </c>
      <c r="I26" s="1">
        <v>14739</v>
      </c>
      <c r="J26" s="1">
        <v>29477</v>
      </c>
      <c r="K26" s="1">
        <v>45896</v>
      </c>
      <c r="L26" s="1">
        <v>45403</v>
      </c>
      <c r="M26" s="1">
        <v>91299</v>
      </c>
      <c r="N26" s="1">
        <v>6431</v>
      </c>
      <c r="O26" s="1">
        <v>6551</v>
      </c>
      <c r="P26" s="1">
        <v>12982</v>
      </c>
      <c r="Q26" s="1">
        <v>6025</v>
      </c>
      <c r="R26" s="1">
        <v>6155</v>
      </c>
      <c r="S26" s="1">
        <v>12180</v>
      </c>
      <c r="T26" s="1">
        <v>58352</v>
      </c>
      <c r="U26" s="1">
        <v>58109</v>
      </c>
      <c r="V26" s="1">
        <v>116461</v>
      </c>
      <c r="W26" s="1">
        <v>68679</v>
      </c>
      <c r="X26" s="1">
        <v>68533</v>
      </c>
      <c r="Y26" s="1">
        <v>137212</v>
      </c>
    </row>
    <row r="27" spans="1:25" x14ac:dyDescent="0.3">
      <c r="A27" s="2" t="s">
        <v>50</v>
      </c>
      <c r="B27" s="1">
        <v>20553</v>
      </c>
      <c r="C27" s="1">
        <v>18788</v>
      </c>
      <c r="D27" s="1">
        <v>39341</v>
      </c>
      <c r="E27" s="1">
        <v>57764</v>
      </c>
      <c r="F27" s="1">
        <v>51979</v>
      </c>
      <c r="G27" s="1">
        <v>109743</v>
      </c>
      <c r="H27" s="1">
        <v>31799</v>
      </c>
      <c r="I27" s="1">
        <v>29238</v>
      </c>
      <c r="J27" s="1">
        <v>61037</v>
      </c>
      <c r="K27" s="1">
        <v>89563</v>
      </c>
      <c r="L27" s="1">
        <v>81217</v>
      </c>
      <c r="M27" s="1">
        <v>170780</v>
      </c>
      <c r="N27" s="1">
        <v>19863</v>
      </c>
      <c r="O27" s="1">
        <v>19397</v>
      </c>
      <c r="P27" s="1">
        <v>39260</v>
      </c>
      <c r="Q27" s="1">
        <v>11483</v>
      </c>
      <c r="R27" s="1">
        <v>12627</v>
      </c>
      <c r="S27" s="1">
        <v>24110</v>
      </c>
      <c r="T27" s="1">
        <v>120909</v>
      </c>
      <c r="U27" s="1">
        <v>113241</v>
      </c>
      <c r="V27" s="1">
        <v>234150</v>
      </c>
      <c r="W27" s="1">
        <v>141462</v>
      </c>
      <c r="X27" s="1">
        <v>132029</v>
      </c>
      <c r="Y27" s="1">
        <v>273491</v>
      </c>
    </row>
    <row r="28" spans="1:25" x14ac:dyDescent="0.3">
      <c r="A28" s="2" t="s">
        <v>51</v>
      </c>
      <c r="B28" s="1">
        <v>22092</v>
      </c>
      <c r="C28" s="1">
        <v>18148</v>
      </c>
      <c r="D28" s="1">
        <v>40240</v>
      </c>
      <c r="E28" s="1">
        <v>376603</v>
      </c>
      <c r="F28" s="1">
        <v>293400</v>
      </c>
      <c r="G28" s="1">
        <v>670003</v>
      </c>
      <c r="H28" s="1">
        <v>160413</v>
      </c>
      <c r="I28" s="1">
        <v>119228</v>
      </c>
      <c r="J28" s="1">
        <v>279641</v>
      </c>
      <c r="K28" s="1">
        <v>537016</v>
      </c>
      <c r="L28" s="1">
        <v>412628</v>
      </c>
      <c r="M28" s="1">
        <v>949644</v>
      </c>
      <c r="N28" s="1">
        <v>69405</v>
      </c>
      <c r="O28" s="1">
        <v>53710</v>
      </c>
      <c r="P28" s="1">
        <v>123115</v>
      </c>
      <c r="Q28" s="1">
        <v>124069</v>
      </c>
      <c r="R28" s="1">
        <v>123983</v>
      </c>
      <c r="S28" s="1">
        <v>248052</v>
      </c>
      <c r="T28" s="1">
        <v>730490</v>
      </c>
      <c r="U28" s="1">
        <v>590321</v>
      </c>
      <c r="V28" s="1">
        <v>1320811</v>
      </c>
      <c r="W28" s="1">
        <v>752582</v>
      </c>
      <c r="X28" s="1">
        <v>608469</v>
      </c>
      <c r="Y28" s="1">
        <v>1361051</v>
      </c>
    </row>
    <row r="29" spans="1:25" x14ac:dyDescent="0.3">
      <c r="A29" s="2" t="s">
        <v>52</v>
      </c>
      <c r="B29" s="1">
        <v>6353</v>
      </c>
      <c r="C29" s="1">
        <v>5395</v>
      </c>
      <c r="D29" s="1">
        <v>11748</v>
      </c>
      <c r="E29" s="1">
        <v>28908</v>
      </c>
      <c r="F29" s="1">
        <v>23702</v>
      </c>
      <c r="G29" s="1">
        <v>52610</v>
      </c>
      <c r="H29" s="1">
        <v>17179</v>
      </c>
      <c r="I29" s="1">
        <v>14033</v>
      </c>
      <c r="J29" s="1">
        <v>31212</v>
      </c>
      <c r="K29" s="1">
        <v>46087</v>
      </c>
      <c r="L29" s="1">
        <v>37735</v>
      </c>
      <c r="M29" s="1">
        <v>83822</v>
      </c>
      <c r="N29" s="1">
        <v>11383</v>
      </c>
      <c r="O29" s="1">
        <v>8964</v>
      </c>
      <c r="P29" s="1">
        <v>20347</v>
      </c>
      <c r="Q29" s="1">
        <v>9964</v>
      </c>
      <c r="R29" s="1">
        <v>8099</v>
      </c>
      <c r="S29" s="1">
        <v>18063</v>
      </c>
      <c r="T29" s="1">
        <v>67434</v>
      </c>
      <c r="U29" s="1">
        <v>54798</v>
      </c>
      <c r="V29" s="1">
        <v>122232</v>
      </c>
      <c r="W29" s="1">
        <v>73787</v>
      </c>
      <c r="X29" s="1">
        <v>60193</v>
      </c>
      <c r="Y29" s="1">
        <v>133980</v>
      </c>
    </row>
    <row r="30" spans="1:25" x14ac:dyDescent="0.3">
      <c r="A30" s="2" t="s">
        <v>53</v>
      </c>
      <c r="B30" s="1">
        <v>225078</v>
      </c>
      <c r="C30" s="1">
        <v>182491</v>
      </c>
      <c r="D30" s="1">
        <v>407569</v>
      </c>
      <c r="E30" s="1">
        <v>652227</v>
      </c>
      <c r="F30" s="1">
        <v>513345</v>
      </c>
      <c r="G30" s="1">
        <v>1165572</v>
      </c>
      <c r="H30" s="1">
        <v>347799</v>
      </c>
      <c r="I30" s="1">
        <v>268340</v>
      </c>
      <c r="J30" s="1">
        <v>616139</v>
      </c>
      <c r="K30" s="1">
        <v>1000026</v>
      </c>
      <c r="L30" s="1">
        <v>781685</v>
      </c>
      <c r="M30" s="1">
        <v>1781711</v>
      </c>
      <c r="N30" s="1">
        <v>215569</v>
      </c>
      <c r="O30" s="1">
        <v>165008</v>
      </c>
      <c r="P30" s="1">
        <v>380577</v>
      </c>
      <c r="Q30" s="1">
        <v>164146</v>
      </c>
      <c r="R30" s="1">
        <v>130394</v>
      </c>
      <c r="S30" s="1">
        <v>294540</v>
      </c>
      <c r="T30" s="1">
        <v>1379741</v>
      </c>
      <c r="U30" s="1">
        <v>1077087</v>
      </c>
      <c r="V30" s="1">
        <v>2456828</v>
      </c>
      <c r="W30" s="1">
        <v>1604819</v>
      </c>
      <c r="X30" s="1">
        <v>1259578</v>
      </c>
      <c r="Y30" s="1">
        <v>2864397</v>
      </c>
    </row>
    <row r="31" spans="1:25" x14ac:dyDescent="0.3">
      <c r="A31" s="2" t="s">
        <v>54</v>
      </c>
      <c r="B31" s="1">
        <v>272335</v>
      </c>
      <c r="C31" s="1">
        <v>213704</v>
      </c>
      <c r="D31" s="1">
        <v>486039</v>
      </c>
      <c r="E31" s="1">
        <v>2043800</v>
      </c>
      <c r="F31" s="1">
        <v>1521095</v>
      </c>
      <c r="G31" s="1">
        <v>3564895</v>
      </c>
      <c r="H31" s="1">
        <v>1043962</v>
      </c>
      <c r="I31" s="1">
        <v>712407</v>
      </c>
      <c r="J31" s="1">
        <v>1756369</v>
      </c>
      <c r="K31" s="1">
        <v>3087762</v>
      </c>
      <c r="L31" s="1">
        <v>2233502</v>
      </c>
      <c r="M31" s="1">
        <v>5321264</v>
      </c>
      <c r="N31" s="1">
        <v>578170</v>
      </c>
      <c r="O31" s="1">
        <v>365255</v>
      </c>
      <c r="P31" s="1">
        <v>943425</v>
      </c>
      <c r="Q31" s="1">
        <v>515921</v>
      </c>
      <c r="R31" s="1">
        <v>318289</v>
      </c>
      <c r="S31" s="1">
        <v>834210</v>
      </c>
      <c r="T31" s="1">
        <v>4181853</v>
      </c>
      <c r="U31" s="1">
        <v>2917046</v>
      </c>
      <c r="V31" s="1">
        <v>7098899</v>
      </c>
      <c r="W31" s="1">
        <v>4454188</v>
      </c>
      <c r="X31" s="1">
        <v>3130750</v>
      </c>
      <c r="Y31" s="1">
        <v>7584938</v>
      </c>
    </row>
    <row r="32" spans="1:25" x14ac:dyDescent="0.3">
      <c r="A32" s="2" t="s">
        <v>55</v>
      </c>
      <c r="B32" s="1">
        <v>6897</v>
      </c>
      <c r="C32" s="1">
        <v>6228</v>
      </c>
      <c r="D32" s="1">
        <v>13125</v>
      </c>
      <c r="E32" s="1">
        <v>12200</v>
      </c>
      <c r="F32" s="1">
        <v>10713</v>
      </c>
      <c r="G32" s="1">
        <v>22913</v>
      </c>
      <c r="H32" s="1">
        <v>3943</v>
      </c>
      <c r="I32" s="1">
        <v>3167</v>
      </c>
      <c r="J32" s="1">
        <v>7110</v>
      </c>
      <c r="K32" s="1">
        <v>16143</v>
      </c>
      <c r="L32" s="1">
        <v>13880</v>
      </c>
      <c r="M32" s="1">
        <v>30023</v>
      </c>
      <c r="N32" s="1">
        <v>1748</v>
      </c>
      <c r="O32" s="1">
        <v>1391</v>
      </c>
      <c r="P32" s="1">
        <v>3139</v>
      </c>
      <c r="Q32" s="1">
        <v>677</v>
      </c>
      <c r="R32" s="1">
        <v>617</v>
      </c>
      <c r="S32" s="1">
        <v>1294</v>
      </c>
      <c r="T32" s="1">
        <v>18568</v>
      </c>
      <c r="U32" s="1">
        <v>15888</v>
      </c>
      <c r="V32" s="1">
        <v>34456</v>
      </c>
      <c r="W32" s="1">
        <v>25465</v>
      </c>
      <c r="X32" s="1">
        <v>22116</v>
      </c>
      <c r="Y32" s="1">
        <v>47581</v>
      </c>
    </row>
    <row r="33" spans="1:25" x14ac:dyDescent="0.3">
      <c r="A33" s="2" t="s">
        <v>56</v>
      </c>
      <c r="B33" s="1">
        <v>291301</v>
      </c>
      <c r="C33" s="1">
        <v>267477</v>
      </c>
      <c r="D33" s="1">
        <v>558778</v>
      </c>
      <c r="E33" s="1">
        <v>1264913</v>
      </c>
      <c r="F33" s="1">
        <v>1098840</v>
      </c>
      <c r="G33" s="1">
        <v>2363753</v>
      </c>
      <c r="H33" s="1">
        <v>571593</v>
      </c>
      <c r="I33" s="1">
        <v>467226</v>
      </c>
      <c r="J33" s="1">
        <v>1038819</v>
      </c>
      <c r="K33" s="1">
        <v>1836506</v>
      </c>
      <c r="L33" s="1">
        <v>1566066</v>
      </c>
      <c r="M33" s="1">
        <v>3402572</v>
      </c>
      <c r="N33" s="1">
        <v>378268</v>
      </c>
      <c r="O33" s="1">
        <v>302205</v>
      </c>
      <c r="P33" s="1">
        <v>680473</v>
      </c>
      <c r="Q33" s="1">
        <v>317638</v>
      </c>
      <c r="R33" s="1">
        <v>270486</v>
      </c>
      <c r="S33" s="1">
        <v>588124</v>
      </c>
      <c r="T33" s="1">
        <v>2532412</v>
      </c>
      <c r="U33" s="1">
        <v>2138757</v>
      </c>
      <c r="V33" s="1">
        <v>4671169</v>
      </c>
      <c r="W33" s="1">
        <v>2823713</v>
      </c>
      <c r="X33" s="1">
        <v>2406234</v>
      </c>
      <c r="Y33" s="1">
        <v>5229947</v>
      </c>
    </row>
    <row r="34" spans="1:25" x14ac:dyDescent="0.3">
      <c r="A34" s="2" t="s">
        <v>57</v>
      </c>
      <c r="B34" s="1">
        <v>77567</v>
      </c>
      <c r="C34" s="1">
        <v>66400</v>
      </c>
      <c r="D34" s="1">
        <v>143967</v>
      </c>
      <c r="E34" s="1">
        <v>835713</v>
      </c>
      <c r="F34" s="1">
        <v>710712</v>
      </c>
      <c r="G34" s="1">
        <v>1546425</v>
      </c>
      <c r="H34" s="1">
        <v>462938</v>
      </c>
      <c r="I34" s="1">
        <v>379440</v>
      </c>
      <c r="J34" s="1">
        <v>842378</v>
      </c>
      <c r="K34" s="1">
        <v>1298651</v>
      </c>
      <c r="L34" s="1">
        <v>1090152</v>
      </c>
      <c r="M34" s="1">
        <v>2388803</v>
      </c>
      <c r="N34" s="1">
        <v>281920</v>
      </c>
      <c r="O34" s="1">
        <v>230182</v>
      </c>
      <c r="P34" s="1">
        <v>512102</v>
      </c>
      <c r="Q34" s="1">
        <v>251183</v>
      </c>
      <c r="R34" s="1">
        <v>218283</v>
      </c>
      <c r="S34" s="1">
        <v>469466</v>
      </c>
      <c r="T34" s="1">
        <v>1831754</v>
      </c>
      <c r="U34" s="1">
        <v>1538617</v>
      </c>
      <c r="V34" s="1">
        <v>3370371</v>
      </c>
      <c r="W34" s="1">
        <v>1909321</v>
      </c>
      <c r="X34" s="1">
        <v>1605017</v>
      </c>
      <c r="Y34" s="1">
        <v>3514338</v>
      </c>
    </row>
    <row r="35" spans="1:25" x14ac:dyDescent="0.3">
      <c r="A35" s="2" t="s">
        <v>58</v>
      </c>
      <c r="B35" s="1">
        <v>11275</v>
      </c>
      <c r="C35" s="1">
        <v>9922</v>
      </c>
      <c r="D35" s="1">
        <v>21197</v>
      </c>
      <c r="E35" s="1">
        <v>32023</v>
      </c>
      <c r="F35" s="1">
        <v>26607</v>
      </c>
      <c r="G35" s="1">
        <v>58630</v>
      </c>
      <c r="H35" s="1">
        <v>14851</v>
      </c>
      <c r="I35" s="1">
        <v>12177</v>
      </c>
      <c r="J35" s="1">
        <v>27028</v>
      </c>
      <c r="K35" s="1">
        <v>46874</v>
      </c>
      <c r="L35" s="1">
        <v>38784</v>
      </c>
      <c r="M35" s="1">
        <v>85658</v>
      </c>
      <c r="N35" s="1">
        <v>7955</v>
      </c>
      <c r="O35" s="1">
        <v>6489</v>
      </c>
      <c r="P35" s="1">
        <v>14444</v>
      </c>
      <c r="Q35" s="1">
        <v>4048</v>
      </c>
      <c r="R35" s="1">
        <v>3685</v>
      </c>
      <c r="S35" s="1">
        <v>7733</v>
      </c>
      <c r="T35" s="1">
        <v>58877</v>
      </c>
      <c r="U35" s="1">
        <v>48958</v>
      </c>
      <c r="V35" s="1">
        <v>107835</v>
      </c>
      <c r="W35" s="1">
        <v>70152</v>
      </c>
      <c r="X35" s="1">
        <v>58880</v>
      </c>
      <c r="Y35" s="1">
        <v>129032</v>
      </c>
    </row>
    <row r="36" spans="1:25" x14ac:dyDescent="0.3">
      <c r="A36" s="2" t="s">
        <v>59</v>
      </c>
      <c r="B36" s="1">
        <v>217519</v>
      </c>
      <c r="C36" s="1">
        <v>169070</v>
      </c>
      <c r="D36" s="1">
        <v>386589</v>
      </c>
      <c r="E36" s="1">
        <v>4874764</v>
      </c>
      <c r="F36" s="1">
        <v>3913110</v>
      </c>
      <c r="G36" s="1">
        <v>8787874</v>
      </c>
      <c r="H36" s="1">
        <v>2641873</v>
      </c>
      <c r="I36" s="1">
        <v>2192422</v>
      </c>
      <c r="J36" s="1">
        <v>4834295</v>
      </c>
      <c r="K36" s="1">
        <v>7516637</v>
      </c>
      <c r="L36" s="1">
        <v>6105532</v>
      </c>
      <c r="M36" s="1">
        <v>13622169</v>
      </c>
      <c r="N36" s="1">
        <v>2251866</v>
      </c>
      <c r="O36" s="1">
        <v>1855152</v>
      </c>
      <c r="P36" s="1">
        <v>4107018</v>
      </c>
      <c r="Q36" s="1">
        <v>1621512</v>
      </c>
      <c r="R36" s="1">
        <v>1358160</v>
      </c>
      <c r="S36" s="1">
        <v>2979672</v>
      </c>
      <c r="T36" s="1">
        <v>11390015</v>
      </c>
      <c r="U36" s="1">
        <v>9318844</v>
      </c>
      <c r="V36" s="1">
        <v>20708859</v>
      </c>
      <c r="W36" s="1">
        <v>11607534</v>
      </c>
      <c r="X36" s="1">
        <v>9487914</v>
      </c>
      <c r="Y36" s="1">
        <v>21095448</v>
      </c>
    </row>
    <row r="37" spans="1:25" x14ac:dyDescent="0.3">
      <c r="A37" s="2" t="s">
        <v>60</v>
      </c>
      <c r="B37" s="1">
        <v>51276</v>
      </c>
      <c r="C37" s="1">
        <v>41495</v>
      </c>
      <c r="D37" s="1">
        <v>92771</v>
      </c>
      <c r="E37" s="1">
        <v>320665</v>
      </c>
      <c r="F37" s="1">
        <v>254133</v>
      </c>
      <c r="G37" s="1">
        <v>574798</v>
      </c>
      <c r="H37" s="1">
        <v>169292</v>
      </c>
      <c r="I37" s="1">
        <v>128175</v>
      </c>
      <c r="J37" s="1">
        <v>297467</v>
      </c>
      <c r="K37" s="1">
        <v>489957</v>
      </c>
      <c r="L37" s="1">
        <v>382308</v>
      </c>
      <c r="M37" s="1">
        <v>872265</v>
      </c>
      <c r="N37" s="1">
        <v>89234</v>
      </c>
      <c r="O37" s="1">
        <v>64062</v>
      </c>
      <c r="P37" s="1">
        <v>153296</v>
      </c>
      <c r="Q37" s="1">
        <v>69889</v>
      </c>
      <c r="R37" s="1">
        <v>50493</v>
      </c>
      <c r="S37" s="1">
        <v>120382</v>
      </c>
      <c r="T37" s="1">
        <v>649080</v>
      </c>
      <c r="U37" s="1">
        <v>496863</v>
      </c>
      <c r="V37" s="1">
        <v>1145943</v>
      </c>
      <c r="W37" s="1">
        <v>700356</v>
      </c>
      <c r="X37" s="1">
        <v>538358</v>
      </c>
      <c r="Y37" s="1">
        <v>1238714</v>
      </c>
    </row>
    <row r="38" spans="1:25" x14ac:dyDescent="0.3">
      <c r="A38" s="2" t="s">
        <v>61</v>
      </c>
      <c r="B38" s="1">
        <v>203107</v>
      </c>
      <c r="C38" s="1">
        <v>178357</v>
      </c>
      <c r="D38" s="1">
        <v>381464</v>
      </c>
      <c r="E38" s="1">
        <v>538900</v>
      </c>
      <c r="F38" s="1">
        <v>459562</v>
      </c>
      <c r="G38" s="1">
        <v>998462</v>
      </c>
      <c r="H38" s="1">
        <v>183107</v>
      </c>
      <c r="I38" s="1">
        <v>150598</v>
      </c>
      <c r="J38" s="1">
        <v>333705</v>
      </c>
      <c r="K38" s="1">
        <v>722007</v>
      </c>
      <c r="L38" s="1">
        <v>610160</v>
      </c>
      <c r="M38" s="1">
        <v>1332167</v>
      </c>
      <c r="N38" s="1">
        <v>72652</v>
      </c>
      <c r="O38" s="1">
        <v>58078</v>
      </c>
      <c r="P38" s="1">
        <v>130730</v>
      </c>
      <c r="Q38" s="1">
        <v>49723</v>
      </c>
      <c r="R38" s="1">
        <v>41943</v>
      </c>
      <c r="S38" s="1">
        <v>91666</v>
      </c>
      <c r="T38" s="1">
        <v>844382</v>
      </c>
      <c r="U38" s="1">
        <v>710181</v>
      </c>
      <c r="V38" s="1">
        <v>1554563</v>
      </c>
      <c r="W38" s="1">
        <v>1047489</v>
      </c>
      <c r="X38" s="1">
        <v>888538</v>
      </c>
      <c r="Y38" s="1">
        <v>1936027</v>
      </c>
    </row>
  </sheetData>
  <pageMargins left="1" right="1" top="1" bottom="1" header="0.5" footer="0.5"/>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8B50-7505-407B-ADA1-A93C099C6B2E}">
  <dimension ref="A1:AP39"/>
  <sheetViews>
    <sheetView showGridLines="0" zoomScale="58" zoomScaleNormal="85" workbookViewId="0">
      <selection activeCell="Q10" sqref="Q10"/>
    </sheetView>
  </sheetViews>
  <sheetFormatPr defaultRowHeight="16.2" x14ac:dyDescent="0.35"/>
  <cols>
    <col min="1" max="1" width="38.5546875" style="2" customWidth="1"/>
    <col min="2" max="2" width="24.44140625" style="1" customWidth="1"/>
    <col min="3" max="3" width="27.44140625" style="1" customWidth="1"/>
    <col min="4" max="4" width="24.77734375" style="1" customWidth="1"/>
    <col min="5" max="5" width="20.21875" style="10" customWidth="1"/>
    <col min="6" max="6" width="19.21875" style="1" customWidth="1"/>
    <col min="7" max="7" width="24" style="1" customWidth="1"/>
    <col min="8" max="8" width="24.88671875" style="1" customWidth="1"/>
    <col min="9" max="9" width="33" customWidth="1"/>
    <col min="11" max="11" width="10.21875" customWidth="1"/>
    <col min="13" max="13" width="35.21875" style="23" customWidth="1"/>
    <col min="14" max="14" width="69.77734375" customWidth="1"/>
    <col min="38" max="38" width="8.88671875" customWidth="1"/>
    <col min="39" max="39" width="4.44140625" customWidth="1"/>
    <col min="40" max="40" width="29.77734375" customWidth="1"/>
  </cols>
  <sheetData>
    <row r="1" spans="1:42" s="22" customFormat="1" ht="43.2" x14ac:dyDescent="0.3">
      <c r="A1" s="47" t="s">
        <v>0</v>
      </c>
      <c r="B1" s="36" t="s">
        <v>62</v>
      </c>
      <c r="C1" s="12" t="s">
        <v>63</v>
      </c>
      <c r="D1" s="36" t="s">
        <v>64</v>
      </c>
      <c r="E1" s="37" t="s">
        <v>65</v>
      </c>
      <c r="F1" s="13" t="s">
        <v>66</v>
      </c>
      <c r="G1" s="14" t="s">
        <v>67</v>
      </c>
      <c r="H1" s="11" t="s">
        <v>68</v>
      </c>
      <c r="I1" s="15" t="s">
        <v>69</v>
      </c>
    </row>
    <row r="2" spans="1:42" s="35" customFormat="1" ht="39" customHeight="1" x14ac:dyDescent="0.3">
      <c r="A2" s="45" t="s">
        <v>25</v>
      </c>
      <c r="B2" s="32">
        <v>49171889</v>
      </c>
      <c r="C2" s="32">
        <v>39099427</v>
      </c>
      <c r="D2" s="44">
        <v>88271316</v>
      </c>
      <c r="E2" s="11">
        <f>B2/$D$2</f>
        <v>0.55705399248834131</v>
      </c>
      <c r="F2" s="33">
        <f>C2/$D$2</f>
        <v>0.44294600751165869</v>
      </c>
      <c r="G2" s="32"/>
      <c r="H2" s="32">
        <f>B2-C2</f>
        <v>10072462</v>
      </c>
      <c r="I2" s="34">
        <f>C2/B2</f>
        <v>0.7951581237808456</v>
      </c>
      <c r="M2" s="43" t="s">
        <v>72</v>
      </c>
      <c r="N2" s="31" t="s">
        <v>73</v>
      </c>
    </row>
    <row r="3" spans="1:42" ht="18" x14ac:dyDescent="0.35">
      <c r="A3" s="16"/>
      <c r="B3" s="17"/>
      <c r="C3" s="17"/>
      <c r="D3" s="7"/>
      <c r="E3" s="20"/>
      <c r="F3" s="18"/>
      <c r="G3" s="17"/>
      <c r="H3" s="19"/>
      <c r="I3" s="7"/>
      <c r="M3" s="25" t="s">
        <v>44</v>
      </c>
      <c r="N3" s="30">
        <v>0</v>
      </c>
    </row>
    <row r="4" spans="1:42" ht="14.4" x14ac:dyDescent="0.3">
      <c r="A4" s="16" t="s">
        <v>26</v>
      </c>
      <c r="B4" s="17">
        <v>10762</v>
      </c>
      <c r="C4" s="17">
        <v>10040</v>
      </c>
      <c r="D4" s="7">
        <v>20802</v>
      </c>
      <c r="E4" s="20">
        <f t="shared" ref="E4:E39" si="0">B4/$B$2</f>
        <v>2.1886488843249444E-4</v>
      </c>
      <c r="F4" s="21">
        <f t="shared" ref="F4:F39" si="1">C4/$C$2</f>
        <v>2.5678125666649793E-4</v>
      </c>
      <c r="G4" s="20">
        <f t="shared" ref="G4:G39" si="2">D4/$D$2</f>
        <v>2.3565979236108816E-4</v>
      </c>
      <c r="H4" s="17">
        <f>B4-C4</f>
        <v>722</v>
      </c>
      <c r="I4" s="8">
        <f t="shared" ref="I4:I21" si="3">C4/B4</f>
        <v>0.93291209812302545</v>
      </c>
      <c r="M4" s="24" t="s">
        <v>49</v>
      </c>
      <c r="N4" s="17">
        <v>146</v>
      </c>
    </row>
    <row r="5" spans="1:42" ht="14.4" x14ac:dyDescent="0.3">
      <c r="A5" s="16" t="s">
        <v>27</v>
      </c>
      <c r="B5" s="17">
        <v>1833343</v>
      </c>
      <c r="C5" s="17">
        <v>1488449</v>
      </c>
      <c r="D5" s="7">
        <v>3321792</v>
      </c>
      <c r="E5" s="20">
        <f t="shared" si="0"/>
        <v>3.7284371971147985E-2</v>
      </c>
      <c r="F5" s="21">
        <f t="shared" si="1"/>
        <v>3.8068307241433487E-2</v>
      </c>
      <c r="G5" s="20">
        <f t="shared" si="2"/>
        <v>3.7631612969268521E-2</v>
      </c>
      <c r="H5" s="17">
        <f>B5-C5</f>
        <v>344894</v>
      </c>
      <c r="I5" s="8">
        <f t="shared" si="3"/>
        <v>0.81187699192131535</v>
      </c>
      <c r="M5" s="25" t="s">
        <v>26</v>
      </c>
      <c r="N5" s="30">
        <v>722</v>
      </c>
    </row>
    <row r="6" spans="1:42" ht="14.4" x14ac:dyDescent="0.3">
      <c r="A6" s="16" t="s">
        <v>28</v>
      </c>
      <c r="B6" s="17">
        <v>52009</v>
      </c>
      <c r="C6" s="17">
        <v>42931</v>
      </c>
      <c r="D6" s="7">
        <v>94940</v>
      </c>
      <c r="E6" s="20">
        <f t="shared" si="0"/>
        <v>1.0576978240555289E-3</v>
      </c>
      <c r="F6" s="21">
        <f t="shared" si="1"/>
        <v>1.0979956304730501E-3</v>
      </c>
      <c r="G6" s="20">
        <f t="shared" si="2"/>
        <v>1.0755475765196476E-3</v>
      </c>
      <c r="H6" s="17">
        <f t="shared" ref="H6:H39" si="4">B6-C6</f>
        <v>9078</v>
      </c>
      <c r="I6" s="8">
        <f t="shared" si="3"/>
        <v>0.82545328693110809</v>
      </c>
      <c r="M6" s="24" t="s">
        <v>43</v>
      </c>
      <c r="N6" s="17">
        <v>1488</v>
      </c>
      <c r="AM6" s="48"/>
      <c r="AN6" s="48"/>
      <c r="AO6" s="48"/>
      <c r="AP6" s="48"/>
    </row>
    <row r="7" spans="1:42" ht="14.4" x14ac:dyDescent="0.3">
      <c r="A7" s="16" t="s">
        <v>29</v>
      </c>
      <c r="B7" s="17">
        <v>856490</v>
      </c>
      <c r="C7" s="17">
        <v>738645</v>
      </c>
      <c r="D7" s="7">
        <v>1595135</v>
      </c>
      <c r="E7" s="20">
        <f t="shared" si="0"/>
        <v>1.7418285476077603E-2</v>
      </c>
      <c r="F7" s="21">
        <f t="shared" si="1"/>
        <v>1.8891453319763486E-2</v>
      </c>
      <c r="G7" s="20">
        <f t="shared" si="2"/>
        <v>1.8070819290832821E-2</v>
      </c>
      <c r="H7" s="17">
        <f t="shared" si="4"/>
        <v>117845</v>
      </c>
      <c r="I7" s="8">
        <f t="shared" si="3"/>
        <v>0.86240936846898386</v>
      </c>
      <c r="M7" s="38" t="s">
        <v>35</v>
      </c>
      <c r="N7" s="39">
        <v>2669</v>
      </c>
      <c r="AM7" s="48"/>
      <c r="AN7" s="48"/>
      <c r="AO7" s="48"/>
      <c r="AP7" s="48"/>
    </row>
    <row r="8" spans="1:42" ht="22.2" x14ac:dyDescent="0.45">
      <c r="A8" s="16" t="s">
        <v>30</v>
      </c>
      <c r="B8" s="17">
        <v>1930948</v>
      </c>
      <c r="C8" s="17">
        <v>1375309</v>
      </c>
      <c r="D8" s="7">
        <v>3306257</v>
      </c>
      <c r="E8" s="20">
        <f t="shared" si="0"/>
        <v>3.9269347573773303E-2</v>
      </c>
      <c r="F8" s="21">
        <f t="shared" si="1"/>
        <v>3.5174658697683728E-2</v>
      </c>
      <c r="G8" s="20">
        <f t="shared" si="2"/>
        <v>3.745562148410702E-2</v>
      </c>
      <c r="H8" s="17">
        <f t="shared" si="4"/>
        <v>555639</v>
      </c>
      <c r="I8" s="8">
        <f t="shared" si="3"/>
        <v>0.71224548770862806</v>
      </c>
      <c r="M8" s="24" t="s">
        <v>55</v>
      </c>
      <c r="N8" s="17">
        <v>3349</v>
      </c>
      <c r="AM8" s="48"/>
      <c r="AN8" s="49"/>
      <c r="AO8" s="48"/>
      <c r="AP8" s="48"/>
    </row>
    <row r="9" spans="1:42" ht="22.2" x14ac:dyDescent="0.45">
      <c r="A9" s="16" t="s">
        <v>31</v>
      </c>
      <c r="B9" s="17">
        <v>48414</v>
      </c>
      <c r="C9" s="17">
        <v>40105</v>
      </c>
      <c r="D9" s="7">
        <v>88519</v>
      </c>
      <c r="E9" s="20">
        <f t="shared" si="0"/>
        <v>9.8458694560219157E-4</v>
      </c>
      <c r="F9" s="21">
        <f t="shared" si="1"/>
        <v>1.0257183564352491E-3</v>
      </c>
      <c r="G9" s="20">
        <f t="shared" si="2"/>
        <v>1.0028059398140162E-3</v>
      </c>
      <c r="H9" s="17">
        <f t="shared" si="4"/>
        <v>8309</v>
      </c>
      <c r="I9" s="8">
        <f t="shared" si="3"/>
        <v>0.82837608956087083</v>
      </c>
      <c r="M9" s="38" t="s">
        <v>48</v>
      </c>
      <c r="N9" s="39">
        <v>5343</v>
      </c>
      <c r="AM9" s="48"/>
      <c r="AN9" s="49"/>
      <c r="AO9" s="48"/>
      <c r="AP9" s="48"/>
    </row>
    <row r="10" spans="1:42" ht="14.4" x14ac:dyDescent="0.3">
      <c r="A10" s="16" t="s">
        <v>32</v>
      </c>
      <c r="B10" s="17">
        <v>881376</v>
      </c>
      <c r="C10" s="17">
        <v>762224</v>
      </c>
      <c r="D10" s="7">
        <v>1643600</v>
      </c>
      <c r="E10" s="20">
        <f t="shared" si="0"/>
        <v>1.7924387651651944E-2</v>
      </c>
      <c r="F10" s="21">
        <f t="shared" si="1"/>
        <v>1.9494505635594097E-2</v>
      </c>
      <c r="G10" s="20">
        <f t="shared" si="2"/>
        <v>1.8619865143961373E-2</v>
      </c>
      <c r="H10" s="17">
        <f t="shared" si="4"/>
        <v>119152</v>
      </c>
      <c r="I10" s="8">
        <f t="shared" si="3"/>
        <v>0.86481138583306105</v>
      </c>
      <c r="M10" s="24" t="s">
        <v>70</v>
      </c>
      <c r="N10" s="17">
        <v>5439</v>
      </c>
      <c r="AM10" s="48"/>
      <c r="AN10" s="48"/>
      <c r="AO10" s="48"/>
      <c r="AP10" s="48"/>
    </row>
    <row r="11" spans="1:42" ht="14.4" x14ac:dyDescent="0.3">
      <c r="A11" s="16" t="s">
        <v>70</v>
      </c>
      <c r="B11" s="17">
        <v>20331</v>
      </c>
      <c r="C11" s="17">
        <v>14892</v>
      </c>
      <c r="D11" s="7">
        <v>35223</v>
      </c>
      <c r="E11" s="20">
        <f t="shared" si="0"/>
        <v>4.1346794710286601E-4</v>
      </c>
      <c r="F11" s="21">
        <f t="shared" si="1"/>
        <v>3.8087514684038721E-4</v>
      </c>
      <c r="G11" s="20">
        <f t="shared" si="2"/>
        <v>3.990310963529761E-4</v>
      </c>
      <c r="H11" s="17">
        <f t="shared" si="4"/>
        <v>5439</v>
      </c>
      <c r="I11" s="8">
        <f t="shared" si="3"/>
        <v>0.73247749741773649</v>
      </c>
      <c r="M11" s="38" t="s">
        <v>31</v>
      </c>
      <c r="N11" s="39">
        <v>8309</v>
      </c>
      <c r="AM11" s="48"/>
      <c r="AN11" s="48"/>
      <c r="AO11" s="48"/>
      <c r="AP11" s="48"/>
    </row>
    <row r="12" spans="1:42" ht="14.4" x14ac:dyDescent="0.3">
      <c r="A12" s="16" t="s">
        <v>34</v>
      </c>
      <c r="B12" s="17">
        <v>941476</v>
      </c>
      <c r="C12" s="17">
        <v>683046</v>
      </c>
      <c r="D12" s="7">
        <v>1624522</v>
      </c>
      <c r="E12" s="20">
        <f t="shared" si="0"/>
        <v>1.9146630710079087E-2</v>
      </c>
      <c r="F12" s="21">
        <f t="shared" si="1"/>
        <v>1.7469463171416809E-2</v>
      </c>
      <c r="G12" s="20">
        <f t="shared" si="2"/>
        <v>1.8403736044900476E-2</v>
      </c>
      <c r="H12" s="17">
        <f t="shared" si="4"/>
        <v>258430</v>
      </c>
      <c r="I12" s="8">
        <f t="shared" si="3"/>
        <v>0.72550548288007344</v>
      </c>
      <c r="M12" s="25" t="s">
        <v>28</v>
      </c>
      <c r="N12" s="30">
        <v>9078</v>
      </c>
      <c r="AM12" s="48"/>
      <c r="AN12" s="48"/>
      <c r="AO12" s="48"/>
      <c r="AP12" s="48"/>
    </row>
    <row r="13" spans="1:42" x14ac:dyDescent="0.35">
      <c r="A13" s="16" t="s">
        <v>35</v>
      </c>
      <c r="B13" s="17">
        <v>20891</v>
      </c>
      <c r="C13" s="17">
        <v>18222</v>
      </c>
      <c r="D13" s="7">
        <v>39113</v>
      </c>
      <c r="E13" s="20">
        <f t="shared" si="0"/>
        <v>4.2485656794677949E-4</v>
      </c>
      <c r="F13" s="21">
        <f t="shared" si="1"/>
        <v>4.660426353562675E-4</v>
      </c>
      <c r="G13" s="20">
        <f t="shared" si="2"/>
        <v>4.4309977207091823E-4</v>
      </c>
      <c r="H13" s="17">
        <f t="shared" si="4"/>
        <v>2669</v>
      </c>
      <c r="I13" s="8">
        <f t="shared" si="3"/>
        <v>0.87224163515389397</v>
      </c>
      <c r="K13" s="46"/>
    </row>
    <row r="14" spans="1:42" ht="48" customHeight="1" x14ac:dyDescent="0.3">
      <c r="A14" s="16" t="s">
        <v>36</v>
      </c>
      <c r="B14" s="17">
        <v>2386067</v>
      </c>
      <c r="C14" s="17">
        <v>1769701</v>
      </c>
      <c r="D14" s="7">
        <v>4155768</v>
      </c>
      <c r="E14" s="20">
        <f t="shared" si="0"/>
        <v>4.8525022091382333E-2</v>
      </c>
      <c r="F14" s="21">
        <f t="shared" si="1"/>
        <v>4.526155843664921E-2</v>
      </c>
      <c r="G14" s="20">
        <f t="shared" si="2"/>
        <v>4.7079483894858894E-2</v>
      </c>
      <c r="H14" s="17">
        <f t="shared" si="4"/>
        <v>616366</v>
      </c>
      <c r="I14" s="8">
        <f t="shared" si="3"/>
        <v>0.74168118497929858</v>
      </c>
      <c r="M14" s="29" t="s">
        <v>71</v>
      </c>
      <c r="N14" s="26" t="s">
        <v>64</v>
      </c>
    </row>
    <row r="15" spans="1:42" ht="14.4" x14ac:dyDescent="0.3">
      <c r="A15" s="16" t="s">
        <v>37</v>
      </c>
      <c r="B15" s="17">
        <v>1927140</v>
      </c>
      <c r="C15" s="17">
        <v>1374727</v>
      </c>
      <c r="D15" s="7">
        <v>3301867</v>
      </c>
      <c r="E15" s="20">
        <f t="shared" si="0"/>
        <v>3.9191904952034687E-2</v>
      </c>
      <c r="F15" s="21">
        <f t="shared" si="1"/>
        <v>3.5159773569060235E-2</v>
      </c>
      <c r="G15" s="20">
        <f t="shared" si="2"/>
        <v>3.7405888454183689E-2</v>
      </c>
      <c r="H15" s="17">
        <f t="shared" si="4"/>
        <v>552413</v>
      </c>
      <c r="I15" s="8">
        <f t="shared" si="3"/>
        <v>0.71335087227705307</v>
      </c>
      <c r="M15" s="16" t="s">
        <v>59</v>
      </c>
      <c r="N15" s="27">
        <v>21095448</v>
      </c>
    </row>
    <row r="16" spans="1:42" ht="14.4" x14ac:dyDescent="0.3">
      <c r="A16" s="16" t="s">
        <v>38</v>
      </c>
      <c r="B16" s="17">
        <v>297306</v>
      </c>
      <c r="C16" s="17">
        <v>238898</v>
      </c>
      <c r="D16" s="7">
        <v>536204</v>
      </c>
      <c r="E16" s="20">
        <f t="shared" si="0"/>
        <v>6.0462594796795383E-3</v>
      </c>
      <c r="F16" s="21">
        <f t="shared" si="1"/>
        <v>6.1100128142542853E-3</v>
      </c>
      <c r="G16" s="20">
        <f t="shared" si="2"/>
        <v>6.0744987646949777E-3</v>
      </c>
      <c r="H16" s="17">
        <f t="shared" si="4"/>
        <v>58408</v>
      </c>
      <c r="I16" s="8">
        <f t="shared" si="3"/>
        <v>0.80354247812018598</v>
      </c>
      <c r="M16" s="41" t="s">
        <v>54</v>
      </c>
      <c r="N16" s="7">
        <v>7584938</v>
      </c>
    </row>
    <row r="17" spans="1:14" ht="14.4" x14ac:dyDescent="0.3">
      <c r="A17" s="16" t="s">
        <v>39</v>
      </c>
      <c r="B17" s="17">
        <v>677809</v>
      </c>
      <c r="C17" s="17">
        <v>557224</v>
      </c>
      <c r="D17" s="7">
        <v>1235033</v>
      </c>
      <c r="E17" s="20">
        <f t="shared" si="0"/>
        <v>1.3784481617128844E-2</v>
      </c>
      <c r="F17" s="21">
        <f t="shared" si="1"/>
        <v>1.4251462048280145E-2</v>
      </c>
      <c r="G17" s="20">
        <f t="shared" si="2"/>
        <v>1.3991328734693385E-2</v>
      </c>
      <c r="H17" s="17">
        <f t="shared" si="4"/>
        <v>120585</v>
      </c>
      <c r="I17" s="8">
        <f t="shared" si="3"/>
        <v>0.82209590017246748</v>
      </c>
      <c r="K17" s="40"/>
      <c r="M17" s="16" t="s">
        <v>45</v>
      </c>
      <c r="N17" s="7">
        <v>6523496</v>
      </c>
    </row>
    <row r="18" spans="1:14" ht="14.4" x14ac:dyDescent="0.3">
      <c r="A18" s="16" t="s">
        <v>40</v>
      </c>
      <c r="B18" s="17">
        <v>729927</v>
      </c>
      <c r="C18" s="17">
        <v>577560</v>
      </c>
      <c r="D18" s="7">
        <v>1307487</v>
      </c>
      <c r="E18" s="20">
        <f t="shared" si="0"/>
        <v>1.4844396154884349E-2</v>
      </c>
      <c r="F18" s="21">
        <f t="shared" si="1"/>
        <v>1.4771571972141689E-2</v>
      </c>
      <c r="G18" s="20">
        <f t="shared" si="2"/>
        <v>1.4812138973888188E-2</v>
      </c>
      <c r="H18" s="17">
        <f t="shared" si="4"/>
        <v>152367</v>
      </c>
      <c r="I18" s="8">
        <f t="shared" si="3"/>
        <v>0.79125720791257204</v>
      </c>
      <c r="M18" s="41" t="s">
        <v>46</v>
      </c>
      <c r="N18" s="7">
        <v>6392405</v>
      </c>
    </row>
    <row r="19" spans="1:14" ht="14.4" x14ac:dyDescent="0.3">
      <c r="A19" s="16" t="s">
        <v>41</v>
      </c>
      <c r="B19" s="17">
        <v>2802254</v>
      </c>
      <c r="C19" s="17">
        <v>2350931</v>
      </c>
      <c r="D19" s="7">
        <v>5153185</v>
      </c>
      <c r="E19" s="20">
        <f t="shared" si="0"/>
        <v>5.6988943418464152E-2</v>
      </c>
      <c r="F19" s="21">
        <f t="shared" si="1"/>
        <v>6.0126993676915007E-2</v>
      </c>
      <c r="G19" s="20">
        <f t="shared" si="2"/>
        <v>5.837893025181589E-2</v>
      </c>
      <c r="H19" s="17">
        <f t="shared" si="4"/>
        <v>451323</v>
      </c>
      <c r="I19" s="8">
        <f t="shared" si="3"/>
        <v>0.83894286527916451</v>
      </c>
      <c r="M19" s="41" t="s">
        <v>56</v>
      </c>
      <c r="N19" s="7">
        <v>5229947</v>
      </c>
    </row>
    <row r="20" spans="1:14" ht="14.4" x14ac:dyDescent="0.3">
      <c r="A20" s="16" t="s">
        <v>42</v>
      </c>
      <c r="B20" s="17">
        <v>841471</v>
      </c>
      <c r="C20" s="17">
        <v>782750</v>
      </c>
      <c r="D20" s="7">
        <v>1624221</v>
      </c>
      <c r="E20" s="20">
        <f t="shared" si="0"/>
        <v>1.711284673240843E-2</v>
      </c>
      <c r="F20" s="21">
        <f t="shared" si="1"/>
        <v>2.0019474965707298E-2</v>
      </c>
      <c r="G20" s="20">
        <f t="shared" si="2"/>
        <v>1.8400326103668829E-2</v>
      </c>
      <c r="H20" s="17">
        <f t="shared" si="4"/>
        <v>58721</v>
      </c>
      <c r="I20" s="8">
        <f t="shared" si="3"/>
        <v>0.93021625225349414</v>
      </c>
      <c r="M20" s="16" t="s">
        <v>41</v>
      </c>
      <c r="N20" s="7">
        <v>5153185</v>
      </c>
    </row>
    <row r="21" spans="1:14" ht="14.4" x14ac:dyDescent="0.3">
      <c r="A21" s="16" t="s">
        <v>43</v>
      </c>
      <c r="B21" s="17">
        <v>15623</v>
      </c>
      <c r="C21" s="17">
        <v>14135</v>
      </c>
      <c r="D21" s="7">
        <v>29758</v>
      </c>
      <c r="E21" s="20">
        <f t="shared" si="0"/>
        <v>3.1772218472225056E-4</v>
      </c>
      <c r="F21" s="21">
        <f t="shared" si="1"/>
        <v>3.615142493008913E-4</v>
      </c>
      <c r="G21" s="20">
        <f t="shared" si="2"/>
        <v>3.3711970488805221E-4</v>
      </c>
      <c r="H21" s="17">
        <f t="shared" si="4"/>
        <v>1488</v>
      </c>
      <c r="I21" s="8">
        <f t="shared" si="3"/>
        <v>0.90475580874351913</v>
      </c>
      <c r="M21" s="41" t="s">
        <v>36</v>
      </c>
      <c r="N21" s="7">
        <v>4155768</v>
      </c>
    </row>
    <row r="22" spans="1:14" ht="14.4" x14ac:dyDescent="0.3">
      <c r="A22" s="16" t="s">
        <v>44</v>
      </c>
      <c r="B22" s="17">
        <v>0</v>
      </c>
      <c r="C22" s="17">
        <v>0</v>
      </c>
      <c r="D22" s="7">
        <v>0</v>
      </c>
      <c r="E22" s="20">
        <f t="shared" si="0"/>
        <v>0</v>
      </c>
      <c r="F22" s="21">
        <f t="shared" si="1"/>
        <v>0</v>
      </c>
      <c r="G22" s="20">
        <f t="shared" si="2"/>
        <v>0</v>
      </c>
      <c r="H22" s="17">
        <f t="shared" si="4"/>
        <v>0</v>
      </c>
      <c r="I22" s="8">
        <v>0</v>
      </c>
      <c r="M22" s="16" t="s">
        <v>57</v>
      </c>
      <c r="N22" s="7">
        <v>3514338</v>
      </c>
    </row>
    <row r="23" spans="1:14" ht="14.4" x14ac:dyDescent="0.3">
      <c r="A23" s="16" t="s">
        <v>45</v>
      </c>
      <c r="B23" s="17">
        <v>3667679</v>
      </c>
      <c r="C23" s="17">
        <v>2855817</v>
      </c>
      <c r="D23" s="7">
        <v>6523496</v>
      </c>
      <c r="E23" s="20">
        <f t="shared" si="0"/>
        <v>7.4588938407470981E-2</v>
      </c>
      <c r="F23" s="21">
        <f t="shared" si="1"/>
        <v>7.3039868333620334E-2</v>
      </c>
      <c r="G23" s="20">
        <f t="shared" si="2"/>
        <v>7.3902784002903052E-2</v>
      </c>
      <c r="H23" s="17">
        <f t="shared" si="4"/>
        <v>811862</v>
      </c>
      <c r="I23" s="8">
        <f t="shared" ref="I23:I39" si="5">C23/B23</f>
        <v>0.77864420523170108</v>
      </c>
      <c r="M23" s="16" t="s">
        <v>27</v>
      </c>
      <c r="N23" s="7">
        <v>3321792</v>
      </c>
    </row>
    <row r="24" spans="1:14" ht="14.4" x14ac:dyDescent="0.3">
      <c r="A24" s="16" t="s">
        <v>46</v>
      </c>
      <c r="B24" s="17">
        <v>3599537</v>
      </c>
      <c r="C24" s="17">
        <v>2792868</v>
      </c>
      <c r="D24" s="7">
        <v>6392405</v>
      </c>
      <c r="E24" s="20">
        <f t="shared" si="0"/>
        <v>7.3203146618996073E-2</v>
      </c>
      <c r="F24" s="21">
        <f t="shared" si="1"/>
        <v>7.1429895890801676E-2</v>
      </c>
      <c r="G24" s="20">
        <f t="shared" si="2"/>
        <v>7.2417692288625227E-2</v>
      </c>
      <c r="H24" s="17">
        <f t="shared" si="4"/>
        <v>806669</v>
      </c>
      <c r="I24" s="8">
        <f t="shared" si="5"/>
        <v>0.77589645557192499</v>
      </c>
      <c r="M24" s="42" t="s">
        <v>30</v>
      </c>
      <c r="N24" s="28">
        <v>3306257</v>
      </c>
    </row>
    <row r="25" spans="1:14" x14ac:dyDescent="0.35">
      <c r="A25" s="16" t="s">
        <v>47</v>
      </c>
      <c r="B25" s="17">
        <v>221327</v>
      </c>
      <c r="C25" s="17">
        <v>208839</v>
      </c>
      <c r="D25" s="7">
        <v>430166</v>
      </c>
      <c r="E25" s="20">
        <f t="shared" si="0"/>
        <v>4.5010880098586411E-3</v>
      </c>
      <c r="F25" s="21">
        <f t="shared" si="1"/>
        <v>5.3412291694197971E-3</v>
      </c>
      <c r="G25" s="20">
        <f t="shared" si="2"/>
        <v>4.8732251822324706E-3</v>
      </c>
      <c r="H25" s="17">
        <f t="shared" si="4"/>
        <v>12488</v>
      </c>
      <c r="I25" s="8">
        <f t="shared" si="5"/>
        <v>0.94357669873083716</v>
      </c>
    </row>
    <row r="26" spans="1:14" x14ac:dyDescent="0.35">
      <c r="A26" s="16" t="s">
        <v>48</v>
      </c>
      <c r="B26" s="17">
        <v>130162</v>
      </c>
      <c r="C26" s="17">
        <v>135505</v>
      </c>
      <c r="D26" s="7">
        <v>265667</v>
      </c>
      <c r="E26" s="20">
        <f t="shared" si="0"/>
        <v>2.6470815469383331E-3</v>
      </c>
      <c r="F26" s="21">
        <f t="shared" si="1"/>
        <v>3.4656518112145224E-3</v>
      </c>
      <c r="G26" s="20">
        <f t="shared" si="2"/>
        <v>3.0096639773672345E-3</v>
      </c>
      <c r="H26" s="17">
        <f t="shared" si="4"/>
        <v>-5343</v>
      </c>
      <c r="I26" s="8">
        <f t="shared" si="5"/>
        <v>1.041048846821653</v>
      </c>
    </row>
    <row r="27" spans="1:14" x14ac:dyDescent="0.35">
      <c r="A27" s="16" t="s">
        <v>49</v>
      </c>
      <c r="B27" s="17">
        <v>68679</v>
      </c>
      <c r="C27" s="17">
        <v>68533</v>
      </c>
      <c r="D27" s="7">
        <v>137212</v>
      </c>
      <c r="E27" s="20">
        <f t="shared" si="0"/>
        <v>1.3967126623913107E-3</v>
      </c>
      <c r="F27" s="21">
        <f t="shared" si="1"/>
        <v>1.7527878349726199E-3</v>
      </c>
      <c r="G27" s="20">
        <f t="shared" si="2"/>
        <v>1.5544347384602265E-3</v>
      </c>
      <c r="H27" s="17">
        <f t="shared" si="4"/>
        <v>146</v>
      </c>
      <c r="I27" s="9">
        <f t="shared" si="5"/>
        <v>0.99787416823191954</v>
      </c>
    </row>
    <row r="28" spans="1:14" x14ac:dyDescent="0.35">
      <c r="A28" s="16" t="s">
        <v>50</v>
      </c>
      <c r="B28" s="17">
        <v>141462</v>
      </c>
      <c r="C28" s="17">
        <v>132029</v>
      </c>
      <c r="D28" s="7">
        <v>273491</v>
      </c>
      <c r="E28" s="20">
        <f t="shared" si="0"/>
        <v>2.8768876461101587E-3</v>
      </c>
      <c r="F28" s="21">
        <f t="shared" si="1"/>
        <v>3.3767502526315797E-3</v>
      </c>
      <c r="G28" s="20">
        <f t="shared" si="2"/>
        <v>3.0982997919731933E-3</v>
      </c>
      <c r="H28" s="17">
        <f t="shared" si="4"/>
        <v>9433</v>
      </c>
      <c r="I28" s="8">
        <f t="shared" si="5"/>
        <v>0.93331778145367661</v>
      </c>
    </row>
    <row r="29" spans="1:14" x14ac:dyDescent="0.35">
      <c r="A29" s="16" t="s">
        <v>51</v>
      </c>
      <c r="B29" s="17">
        <v>752582</v>
      </c>
      <c r="C29" s="17">
        <v>608469</v>
      </c>
      <c r="D29" s="7">
        <v>1361051</v>
      </c>
      <c r="E29" s="20">
        <f t="shared" si="0"/>
        <v>1.5305126878489455E-2</v>
      </c>
      <c r="F29" s="21">
        <f t="shared" si="1"/>
        <v>1.5562095065996748E-2</v>
      </c>
      <c r="G29" s="20">
        <f t="shared" si="2"/>
        <v>1.5418949911203317E-2</v>
      </c>
      <c r="H29" s="17">
        <f t="shared" si="4"/>
        <v>144113</v>
      </c>
      <c r="I29" s="8">
        <f t="shared" si="5"/>
        <v>0.80850857448092039</v>
      </c>
    </row>
    <row r="30" spans="1:14" x14ac:dyDescent="0.35">
      <c r="A30" s="16" t="s">
        <v>52</v>
      </c>
      <c r="B30" s="17">
        <v>73787</v>
      </c>
      <c r="C30" s="17">
        <v>60193</v>
      </c>
      <c r="D30" s="7">
        <v>133980</v>
      </c>
      <c r="E30" s="20">
        <f t="shared" si="0"/>
        <v>1.50059315394615E-3</v>
      </c>
      <c r="F30" s="21">
        <f t="shared" si="1"/>
        <v>1.5394854763472621E-3</v>
      </c>
      <c r="G30" s="20">
        <f t="shared" si="2"/>
        <v>1.5178203528765789E-3</v>
      </c>
      <c r="H30" s="17">
        <f t="shared" si="4"/>
        <v>13594</v>
      </c>
      <c r="I30" s="8">
        <f t="shared" si="5"/>
        <v>0.81576700502798594</v>
      </c>
    </row>
    <row r="31" spans="1:14" x14ac:dyDescent="0.35">
      <c r="A31" s="16" t="s">
        <v>53</v>
      </c>
      <c r="B31" s="17">
        <v>1604819</v>
      </c>
      <c r="C31" s="17">
        <v>1259578</v>
      </c>
      <c r="D31" s="7">
        <v>2864397</v>
      </c>
      <c r="E31" s="20">
        <f t="shared" si="0"/>
        <v>3.263691984662212E-2</v>
      </c>
      <c r="F31" s="21">
        <f t="shared" si="1"/>
        <v>3.2214743198154795E-2</v>
      </c>
      <c r="G31" s="20">
        <f t="shared" si="2"/>
        <v>3.2449918385718868E-2</v>
      </c>
      <c r="H31" s="17">
        <f t="shared" si="4"/>
        <v>345241</v>
      </c>
      <c r="I31" s="8">
        <f t="shared" si="5"/>
        <v>0.78487231270317714</v>
      </c>
    </row>
    <row r="32" spans="1:14" x14ac:dyDescent="0.35">
      <c r="A32" s="16" t="s">
        <v>54</v>
      </c>
      <c r="B32" s="17">
        <v>4454188</v>
      </c>
      <c r="C32" s="17">
        <v>3130750</v>
      </c>
      <c r="D32" s="7">
        <v>7584938</v>
      </c>
      <c r="E32" s="20">
        <f t="shared" si="0"/>
        <v>9.0584032677695173E-2</v>
      </c>
      <c r="F32" s="21">
        <f t="shared" si="1"/>
        <v>8.0071505907234913E-2</v>
      </c>
      <c r="G32" s="20">
        <f t="shared" si="2"/>
        <v>8.5927550915860365E-2</v>
      </c>
      <c r="H32" s="17">
        <f t="shared" si="4"/>
        <v>1323438</v>
      </c>
      <c r="I32" s="8">
        <f t="shared" si="5"/>
        <v>0.70287783093124945</v>
      </c>
    </row>
    <row r="33" spans="1:9" x14ac:dyDescent="0.35">
      <c r="A33" s="16" t="s">
        <v>55</v>
      </c>
      <c r="B33" s="17">
        <v>25465</v>
      </c>
      <c r="C33" s="17">
        <v>22116</v>
      </c>
      <c r="D33" s="7">
        <v>47581</v>
      </c>
      <c r="E33" s="20">
        <f t="shared" si="0"/>
        <v>5.1787719605403003E-4</v>
      </c>
      <c r="F33" s="21">
        <f t="shared" si="1"/>
        <v>5.656348876928555E-4</v>
      </c>
      <c r="G33" s="20">
        <f t="shared" si="2"/>
        <v>5.3903127489342067E-4</v>
      </c>
      <c r="H33" s="17">
        <f t="shared" si="4"/>
        <v>3349</v>
      </c>
      <c r="I33" s="8">
        <f t="shared" si="5"/>
        <v>0.86848615747103863</v>
      </c>
    </row>
    <row r="34" spans="1:9" x14ac:dyDescent="0.35">
      <c r="A34" s="16" t="s">
        <v>56</v>
      </c>
      <c r="B34" s="17">
        <v>2823713</v>
      </c>
      <c r="C34" s="17">
        <v>2406234</v>
      </c>
      <c r="D34" s="7">
        <v>5229947</v>
      </c>
      <c r="E34" s="20">
        <f t="shared" si="0"/>
        <v>5.7425351301838332E-2</v>
      </c>
      <c r="F34" s="21">
        <f t="shared" si="1"/>
        <v>6.154141338183805E-2</v>
      </c>
      <c r="G34" s="20">
        <f t="shared" si="2"/>
        <v>5.9248544566844343E-2</v>
      </c>
      <c r="H34" s="17">
        <f t="shared" si="4"/>
        <v>417479</v>
      </c>
      <c r="I34" s="8">
        <f t="shared" si="5"/>
        <v>0.85215246733644667</v>
      </c>
    </row>
    <row r="35" spans="1:9" x14ac:dyDescent="0.35">
      <c r="A35" s="16" t="s">
        <v>57</v>
      </c>
      <c r="B35" s="17">
        <v>1909321</v>
      </c>
      <c r="C35" s="17">
        <v>1605017</v>
      </c>
      <c r="D35" s="7">
        <v>3514338</v>
      </c>
      <c r="E35" s="20">
        <f t="shared" si="0"/>
        <v>3.8829523104145947E-2</v>
      </c>
      <c r="F35" s="21">
        <f t="shared" si="1"/>
        <v>4.1049629704292087E-2</v>
      </c>
      <c r="G35" s="20">
        <f t="shared" si="2"/>
        <v>3.9812910458930963E-2</v>
      </c>
      <c r="H35" s="17">
        <f t="shared" si="4"/>
        <v>304304</v>
      </c>
      <c r="I35" s="8">
        <f t="shared" si="5"/>
        <v>0.84062187552538314</v>
      </c>
    </row>
    <row r="36" spans="1:9" x14ac:dyDescent="0.35">
      <c r="A36" s="16" t="s">
        <v>58</v>
      </c>
      <c r="B36" s="17">
        <v>70152</v>
      </c>
      <c r="C36" s="17">
        <v>58880</v>
      </c>
      <c r="D36" s="7">
        <v>129032</v>
      </c>
      <c r="E36" s="20">
        <f t="shared" si="0"/>
        <v>1.4266688025753901E-3</v>
      </c>
      <c r="F36" s="21">
        <f t="shared" si="1"/>
        <v>1.5059044215660756E-3</v>
      </c>
      <c r="G36" s="20">
        <f t="shared" si="2"/>
        <v>1.4617659036600293E-3</v>
      </c>
      <c r="H36" s="17">
        <f t="shared" si="4"/>
        <v>11272</v>
      </c>
      <c r="I36" s="8">
        <f t="shared" si="5"/>
        <v>0.83932033299121911</v>
      </c>
    </row>
    <row r="37" spans="1:9" x14ac:dyDescent="0.35">
      <c r="A37" s="16" t="s">
        <v>59</v>
      </c>
      <c r="B37" s="17">
        <v>11607534</v>
      </c>
      <c r="C37" s="17">
        <v>9487914</v>
      </c>
      <c r="D37" s="7">
        <v>21095448</v>
      </c>
      <c r="E37" s="20">
        <f t="shared" si="0"/>
        <v>0.23606036367649003</v>
      </c>
      <c r="F37" s="21">
        <f t="shared" si="1"/>
        <v>0.24266120319359155</v>
      </c>
      <c r="G37" s="20">
        <f t="shared" si="2"/>
        <v>0.23898417918681533</v>
      </c>
      <c r="H37" s="17">
        <f t="shared" si="4"/>
        <v>2119620</v>
      </c>
      <c r="I37" s="8">
        <f t="shared" si="5"/>
        <v>0.81739273819917302</v>
      </c>
    </row>
    <row r="38" spans="1:9" x14ac:dyDescent="0.35">
      <c r="A38" s="16" t="s">
        <v>60</v>
      </c>
      <c r="B38" s="17">
        <v>700356</v>
      </c>
      <c r="C38" s="17">
        <v>538358</v>
      </c>
      <c r="D38" s="7">
        <v>1238714</v>
      </c>
      <c r="E38" s="20">
        <f t="shared" si="0"/>
        <v>1.424301596385691E-2</v>
      </c>
      <c r="F38" s="21">
        <f t="shared" si="1"/>
        <v>1.3768948583312998E-2</v>
      </c>
      <c r="G38" s="20">
        <f t="shared" si="2"/>
        <v>1.4033029710353475E-2</v>
      </c>
      <c r="H38" s="17">
        <f t="shared" si="4"/>
        <v>161998</v>
      </c>
      <c r="I38" s="8">
        <f t="shared" si="5"/>
        <v>0.76869192239375406</v>
      </c>
    </row>
    <row r="39" spans="1:9" x14ac:dyDescent="0.35">
      <c r="A39" s="16" t="s">
        <v>61</v>
      </c>
      <c r="B39" s="17">
        <v>1047489</v>
      </c>
      <c r="C39" s="17">
        <v>888538</v>
      </c>
      <c r="D39" s="7">
        <v>1936027</v>
      </c>
      <c r="E39" s="20">
        <f t="shared" si="0"/>
        <v>2.1302598319946586E-2</v>
      </c>
      <c r="F39" s="21">
        <f t="shared" si="1"/>
        <v>2.2725090063340316E-2</v>
      </c>
      <c r="G39" s="20">
        <f t="shared" si="2"/>
        <v>2.1932685358401136E-2</v>
      </c>
      <c r="H39" s="17">
        <f t="shared" si="4"/>
        <v>158951</v>
      </c>
      <c r="I39" s="8">
        <f t="shared" si="5"/>
        <v>0.84825520840791646</v>
      </c>
    </row>
  </sheetData>
  <conditionalFormatting sqref="I2 I4:I39">
    <cfRule type="expression" dxfId="4" priority="2">
      <formula>I2=1</formula>
    </cfRule>
    <cfRule type="expression" dxfId="3" priority="4">
      <formula>I2&gt;=1</formula>
    </cfRule>
    <cfRule type="expression" dxfId="2" priority="5">
      <formula>I2&lt;1</formula>
    </cfRule>
  </conditionalFormatting>
  <conditionalFormatting sqref="I27">
    <cfRule type="cellIs" dxfId="1" priority="1" operator="equal">
      <formula>1</formula>
    </cfRule>
    <cfRule type="expression" dxfId="0" priority="3">
      <formula>$I$2:$I$39=1</formula>
    </cfRule>
  </conditionalFormatting>
  <pageMargins left="0.7" right="0.7" top="0.75" bottom="0.75" header="0.3" footer="0.3"/>
  <pageSetup orientation="portrait" r:id="rId1"/>
  <ignoredErrors>
    <ignoredError sqref="E2" calculatedColumn="1"/>
  </ignoredErrors>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8F0E-2C4F-4183-AA2D-25414D18C102}">
  <dimension ref="A1"/>
  <sheetViews>
    <sheetView showGridLines="0" tabSelected="1" zoomScale="80" zoomScaleNormal="80" workbookViewId="0">
      <selection activeCell="A42" sqref="A42"/>
    </sheetView>
  </sheetViews>
  <sheetFormatPr defaultRowHeight="14.4" x14ac:dyDescent="0.3"/>
  <cols>
    <col min="1" max="16384" width="8.88671875" style="6"/>
  </cols>
  <sheetData/>
  <pageMargins left="0.70866141732283472" right="0.70866141732283472" top="0.74803149606299213" bottom="0.74803149606299213" header="0.31496062992125984" footer="0.31496062992125984"/>
  <pageSetup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UDISE_2021_22_Table_5.9_0</vt:lpstr>
      <vt:lpstr>Filtered</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Hamza Mohammad</cp:lastModifiedBy>
  <cp:lastPrinted>2026-02-12T21:57:03Z</cp:lastPrinted>
  <dcterms:created xsi:type="dcterms:W3CDTF">2026-02-09T18:46:59Z</dcterms:created>
  <dcterms:modified xsi:type="dcterms:W3CDTF">2026-02-12T22:23:18Z</dcterms:modified>
</cp:coreProperties>
</file>